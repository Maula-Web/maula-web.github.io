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IERTOS" sheetId="1" r:id="rId3"/>
    <sheet state="visible" name="CLASIFICACION 2025-2026" sheetId="2" r:id="rId4"/>
  </sheets>
  <definedNames>
    <definedName name="ALFONSO">ACIERTOS!$B$6</definedName>
  </definedNames>
  <calcPr/>
</workbook>
</file>

<file path=xl/sharedStrings.xml><?xml version="1.0" encoding="utf-8"?>
<sst xmlns="http://schemas.openxmlformats.org/spreadsheetml/2006/main" count="86" uniqueCount="50">
  <si>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</si>
  <si>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</si>
  <si>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</si>
  <si>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</si>
  <si>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</si>
  <si>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</si>
  <si>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</si>
  <si>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</si>
  <si>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</si>
  <si>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</si>
  <si>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</si>
  <si>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</si>
  <si>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</si>
  <si>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</si>
  <si>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</si>
  <si>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</si>
  <si>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Ramón</t>
  </si>
  <si>
    <t>Raúl Romera</t>
  </si>
  <si>
    <t>Samuel</t>
  </si>
  <si>
    <t>NO CONFUNDAIS TENER BONUS CON CONSEGUIR PREMIO</t>
  </si>
  <si>
    <t>TIENES UN CERO, POR MAULA</t>
  </si>
  <si>
    <t>ACIERTOS</t>
  </si>
  <si>
    <t>TIENES 3 O MENOS ACIERTOS Y PENALIZAS</t>
  </si>
  <si>
    <t>ERES EL QUE MENOS ACIERTOS TIENES PERO NO TIENES PENALIZACIÓN</t>
  </si>
  <si>
    <t>PENALIZACIONES</t>
  </si>
  <si>
    <t>INDICADOR FILA VACIA</t>
  </si>
  <si>
    <t>ULTIMA FILA RELLENA</t>
  </si>
  <si>
    <t>TIENES ENTRE 4 Y 9 ACIERTOS</t>
  </si>
  <si>
    <t>ERES EL QUE MÁS ACIERTOS TIENES PERO NO CONSIGUES BONUS</t>
  </si>
  <si>
    <t>TOTAL PUNTOS</t>
  </si>
  <si>
    <t>TIENES 10 ACIERTOS O MÁS Y CONSIGUES BONUS</t>
  </si>
  <si>
    <t>Jornada 01 - 17.08.2025</t>
  </si>
  <si>
    <t>Jornada 02 - 24.08.2025</t>
  </si>
  <si>
    <t>Jornada 03 - 31.08.2025</t>
  </si>
  <si>
    <t>Jornada 05 - 14.09.2025</t>
  </si>
  <si>
    <t>Jornada 07 - 21.09.2025</t>
  </si>
  <si>
    <t>Jornada 09 - 28.09.2025</t>
  </si>
  <si>
    <t>Jornada 11 - 05.10.2025</t>
  </si>
  <si>
    <t>Jornada 14 - 19.10.2025</t>
  </si>
  <si>
    <t>Jornada 16 - 26.10.2025</t>
  </si>
  <si>
    <t>Jornada 17 - 02.11.2025</t>
  </si>
  <si>
    <t>Jornada 19 - 09.11.2025</t>
  </si>
  <si>
    <t>Jornada 22 - 23.11.2025</t>
  </si>
  <si>
    <t>Jornada 24 - 30.11.2025</t>
  </si>
  <si>
    <t>Jornada 26 - 07.12.2025</t>
  </si>
  <si>
    <t>POSICION</t>
  </si>
  <si>
    <t>MAULA</t>
  </si>
  <si>
    <t>PUNTOS</t>
  </si>
  <si>
    <t>ACIERTOS ULTIMA JORNADA</t>
  </si>
  <si>
    <t>PUNTOS PERDIDOS/BONUS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</si>
</sst>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23">
    <font>
      <sz val="10.0"/>
      <color rgb="FF000000"/>
      <name val="Arial"/>
    </font>
    <font>
      <b/>
      <color rgb="FFFFFFFF"/>
    </font>
    <font>
      <b/>
      <sz val="10.0"/>
      <color rgb="FF990000"/>
    </font>
    <font/>
    <font>
      <color rgb="FFFFFFFF"/>
    </font>
    <font>
      <b/>
      <color rgb="FF000000"/>
    </font>
    <font>
      <sz val="9.0"/>
      <color rgb="FFFFFFFF"/>
    </font>
    <font>
      <sz val="9.0"/>
    </font>
    <font>
      <color rgb="FF990000"/>
    </font>
    <font>
      <sz val="9.0"/>
      <color rgb="FF980000"/>
    </font>
    <font>
      <sz val="9.0"/>
      <color rgb="FF666666"/>
    </font>
    <font>
      <sz val="9.0"/>
      <color rgb="FF134F5C"/>
    </font>
    <font>
      <b/>
      <sz val="12.0"/>
      <color rgb="FFFFFFFF"/>
    </font>
    <font>
      <b/>
      <sz val="14.0"/>
      <color rgb="FFFFFFFF"/>
    </font>
    <font>
      <b/>
      <color rgb="FF990000"/>
    </font>
    <font>
      <sz val="11.0"/>
      <color rgb="FF666666"/>
    </font>
    <font>
      <color rgb="FF980000"/>
    </font>
    <font>
      <b/>
      <color rgb="FF990000"/>
      <name val="Arial"/>
    </font>
    <font>
      <name val="Arial"/>
    </font>
    <font>
      <strike/>
      <sz val="11.0"/>
      <color rgb="FF666666"/>
    </font>
    <font>
      <color rgb="FF666666"/>
    </font>
    <font>
      <b/>
      <sz val="11.0"/>
      <color rgb="FF990000"/>
    </font>
    <font>
      <b/>
      <sz val="11.0"/>
      <color rgb="FF99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  <fill>
      <patternFill patternType="solid">
        <fgColor rgb="FFFFF6F6"/>
        <bgColor rgb="FFFFF6F6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24BE00"/>
        <bgColor rgb="FF24BE00"/>
      </patternFill>
    </fill>
  </fills>
  <borders count="4">
    <border/>
    <border>
      <left style="thin">
        <color rgb="FF990000"/>
      </left>
      <right style="thin">
        <color rgb="FF990000"/>
      </right>
      <top style="thin">
        <color rgb="FF990000"/>
      </top>
      <bottom style="thin">
        <color rgb="FF990000"/>
      </bottom>
    </border>
    <border>
      <left style="thin">
        <color rgb="FF990000"/>
      </left>
      <right style="thin">
        <color rgb="FF990000"/>
      </right>
      <bottom style="thin">
        <color rgb="FF99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wrapText="1"/>
    </xf>
    <xf borderId="2" fillId="0" fontId="8" numFmtId="0" xfId="0" applyAlignment="1" applyBorder="1" applyFont="1">
      <alignment horizontal="center" shrinkToFit="0" vertical="bottom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7" fontId="9" numFmtId="0" xfId="0" applyAlignment="1" applyFill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shrinkToFit="0" vertical="bottom" wrapText="1"/>
    </xf>
    <xf borderId="0" fillId="8" fontId="10" numFmtId="0" xfId="0" applyAlignment="1" applyFill="1" applyFont="1">
      <alignment horizontal="center" readingOrder="0" shrinkToFit="0" vertical="center" wrapText="1"/>
    </xf>
    <xf borderId="0" fillId="9" fontId="11" numFmtId="0" xfId="0" applyAlignment="1" applyFill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3" fillId="2" fontId="1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10" fontId="6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horizontal="center" shrinkToFit="0" vertical="bottom" wrapText="1"/>
    </xf>
    <xf borderId="0" fillId="3" fontId="4" numFmtId="0" xfId="0" applyAlignment="1" applyFont="1">
      <alignment shrinkToFit="0" wrapText="1"/>
    </xf>
    <xf borderId="0" fillId="0" fontId="14" numFmtId="0" xfId="0" applyAlignment="1" applyFont="1">
      <alignment readingOrder="0" shrinkToFit="0" wrapText="1"/>
    </xf>
    <xf borderId="0" fillId="8" fontId="15" numFmtId="0" xfId="0" applyAlignment="1" applyFont="1">
      <alignment horizontal="center" shrinkToFit="0" vertical="bottom" wrapText="1"/>
    </xf>
    <xf borderId="0" fillId="8" fontId="15" numFmtId="164" xfId="0" applyAlignment="1" applyFont="1" applyNumberFormat="1">
      <alignment horizontal="center" shrinkToFit="0" vertical="bottom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readingOrder="0" shrinkToFit="0" vertical="bottom" wrapText="1"/>
    </xf>
    <xf borderId="0" fillId="0" fontId="18" numFmtId="0" xfId="0" applyAlignment="1" applyFont="1">
      <alignment horizontal="right" shrinkToFit="0" vertical="bottom" wrapText="1"/>
    </xf>
    <xf borderId="0" fillId="0" fontId="18" numFmtId="0" xfId="0" applyAlignment="1" applyFont="1">
      <alignment horizontal="right" shrinkToFit="0" vertical="bottom" wrapText="1"/>
    </xf>
    <xf borderId="0" fillId="9" fontId="18" numFmtId="0" xfId="0" applyAlignment="1" applyFont="1">
      <alignment shrinkToFit="0" vertical="bottom" wrapText="1"/>
    </xf>
    <xf borderId="0" fillId="0" fontId="18" numFmtId="0" xfId="0" applyAlignment="1" applyFont="1">
      <alignment shrinkToFit="0" vertical="bottom" wrapText="1"/>
    </xf>
    <xf borderId="0" fillId="0" fontId="18" numFmtId="0" xfId="0" applyAlignment="1" applyFont="1">
      <alignment shrinkToFit="0" vertical="bottom" wrapText="1"/>
    </xf>
    <xf borderId="0" fillId="8" fontId="19" numFmtId="0" xfId="0" applyAlignment="1" applyFont="1">
      <alignment horizontal="center" shrinkToFit="0" vertical="bottom" wrapText="1"/>
    </xf>
    <xf borderId="0" fillId="8" fontId="19" numFmtId="0" xfId="0" applyAlignment="1" applyFont="1">
      <alignment horizontal="center" shrinkToFit="0" vertical="bottom" wrapText="1"/>
    </xf>
    <xf borderId="0" fillId="3" fontId="20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1" fillId="4" fontId="21" numFmtId="0" xfId="0" applyAlignment="1" applyBorder="1" applyFont="1">
      <alignment horizontal="center" readingOrder="0" shrinkToFit="0" vertical="center" wrapText="1"/>
    </xf>
    <xf borderId="1" fillId="4" fontId="21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horizontal="center" readingOrder="0" shrinkToFit="0" vertical="center" wrapText="1"/>
    </xf>
    <xf borderId="0" fillId="3" fontId="21" numFmtId="0" xfId="0" applyAlignment="1" applyFont="1">
      <alignment horizontal="center" readingOrder="0" shrinkToFit="0" vertical="bottom" wrapText="1"/>
    </xf>
    <xf borderId="0" fillId="3" fontId="21" numFmtId="0" xfId="0" applyAlignment="1" applyFont="1">
      <alignment horizontal="center" shrinkToFit="0" vertical="bottom" wrapText="1"/>
    </xf>
    <xf borderId="0" fillId="3" fontId="22" numFmtId="0" xfId="0" applyAlignment="1" applyFont="1">
      <alignment horizontal="center" shrinkToFit="0" vertical="bottom" wrapText="1"/>
    </xf>
    <xf borderId="0" fillId="3" fontId="21" numFmtId="0" xfId="0" applyAlignment="1" applyFont="1">
      <alignment horizontal="center" readingOrder="0" shrinkToFit="0" vertical="bottom" wrapText="1"/>
    </xf>
    <xf borderId="0" fillId="3" fontId="21" numFmtId="0" xfId="0" applyAlignment="1" applyFont="1">
      <alignment horizontal="center" readingOrder="0" shrinkToFit="0" vertical="bottom" wrapText="1"/>
    </xf>
    <xf borderId="0" fillId="3" fontId="15" numFmtId="0" xfId="0" applyAlignment="1" applyFont="1">
      <alignment horizontal="center" readingOrder="0" shrinkToFit="0" vertical="bottom" wrapText="1"/>
    </xf>
    <xf borderId="0" fillId="3" fontId="15" numFmtId="0" xfId="0" applyAlignment="1" applyFont="1">
      <alignment horizontal="center" readingOrder="0" shrinkToFit="0" vertical="bottom" wrapText="1"/>
    </xf>
    <xf borderId="0" fillId="3" fontId="15" numFmtId="0" xfId="0" applyAlignment="1" applyFont="1">
      <alignment horizontal="center" shrinkToFit="0" vertical="bottom" wrapText="1"/>
    </xf>
  </cellXfs>
  <cellStyles count="1">
    <cellStyle xfId="0" name="Normal" builtinId="0"/>
  </cellStyles>
  <dxfs count="9"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B7B7B7"/>
      </font>
      <fill>
        <patternFill patternType="none"/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24BE00"/>
          <bgColor rgb="FF24BE00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>
        <color rgb="FF134F5C"/>
      </font>
      <fill>
        <patternFill patternType="solid">
          <fgColor rgb="FFC9DAF8"/>
          <bgColor rgb="FFC9DAF8"/>
        </patternFill>
      </fill>
      <border/>
    </dxf>
    <dxf>
      <font>
        <color rgb="FF980000"/>
      </font>
      <fill>
        <patternFill patternType="solid">
          <fgColor rgb="FFE6B8AF"/>
          <bgColor rgb="FFE6B8AF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990000"/>
                </a:solidFill>
                <a:latin typeface="Roboto"/>
              </a:defRPr>
            </a:pPr>
            <a:r>
              <a:rPr b="1" sz="1600">
                <a:solidFill>
                  <a:srgbClr val="990000"/>
                </a:solidFill>
                <a:latin typeface="Roboto"/>
              </a:rPr>
              <a:t>Temporada 2023-24</a:t>
            </a:r>
          </a:p>
        </c:rich>
      </c:tx>
      <c:overlay val="0"/>
    </c:title>
    <c:plotArea>
      <c:layout>
        <c:manualLayout>
          <c:xMode val="edge"/>
          <c:yMode val="edge"/>
          <c:x val="0.050069999999999996"/>
          <c:y val="0.07421"/>
          <c:w val="0.92095"/>
          <c:h val="0.6679"/>
        </c:manualLayout>
      </c:layout>
      <c:barChart>
        <c:barDir val="col"/>
        <c:grouping val="stacked"/>
        <c:ser>
          <c:idx val="0"/>
          <c:order val="0"/>
          <c:tx>
            <c:strRef>
              <c:f>'CLASIFICACION 2025-2026'!$G$1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'CLASIFICACION 2025-2026'!$F$2:$F$21</c:f>
            </c:strRef>
          </c:cat>
          <c:val>
            <c:numRef>
              <c:f>'CLASIFICACION 2025-2026'!$G$2:$G$21</c:f>
              <c:numCache/>
            </c:numRef>
          </c:val>
        </c:ser>
        <c:ser>
          <c:idx val="1"/>
          <c:order val="1"/>
          <c:tx>
            <c:strRef>
              <c:f>'CLASIFICACION 2025-2026'!$I$1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'CLASIFICACION 2025-2026'!$F$2:$F$21</c:f>
            </c:strRef>
          </c:cat>
          <c:val>
            <c:numRef>
              <c:f>'CLASIFICACION 2025-2026'!$I$2:$I$21</c:f>
              <c:numCache/>
            </c:numRef>
          </c:val>
        </c:ser>
        <c:overlap val="100"/>
        <c:axId val="930326719"/>
        <c:axId val="1463232477"/>
      </c:barChart>
      <c:catAx>
        <c:axId val="930326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990000"/>
                </a:solidFill>
                <a:latin typeface="Roboto"/>
              </a:defRPr>
            </a:pPr>
          </a:p>
        </c:txPr>
        <c:crossAx val="1463232477"/>
      </c:catAx>
      <c:valAx>
        <c:axId val="1463232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200">
                    <a:solidFill>
                      <a:srgbClr val="000000"/>
                    </a:solidFill>
                    <a:latin typeface="Roboto"/>
                  </a:rPr>
                  <a:t>Puntos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Roboto"/>
              </a:defRPr>
            </a:pPr>
          </a:p>
        </c:txPr>
        <c:crossAx val="930326719"/>
      </c:valAx>
    </c:plotArea>
    <c:legend>
      <c:legendPos val="t"/>
      <c:overlay val="0"/>
      <c:txPr>
        <a:bodyPr/>
        <a:lstStyle/>
        <a:p>
          <a:pPr lvl="0">
            <a:defRPr b="0" sz="900">
              <a:solidFill>
                <a:srgbClr val="222222"/>
              </a:solidFill>
              <a:latin typeface="Roboto"/>
            </a:defRPr>
          </a:pPr>
        </a:p>
      </c:txPr>
    </c:legend>
    <c:plotVisOnly val="0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266700</xdr:colOff>
      <xdr:row>0</xdr:row>
      <xdr:rowOff>28575</xdr:rowOff>
    </xdr:from>
    <xdr:ext cx="7229475" cy="5581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2.75"/>
  <cols>
    <col customWidth="1" min="1" max="1" width="22.0"/>
    <col customWidth="1" min="2" max="2" width="8.0"/>
    <col customWidth="1" min="3" max="6" width="8.13"/>
    <col customWidth="1" min="7" max="7" width="9.5"/>
    <col customWidth="1" min="8" max="8" width="9.25"/>
    <col customWidth="1" min="9" max="9" width="8.13"/>
    <col customWidth="1" min="10" max="10" width="9.75"/>
    <col customWidth="1" min="11" max="11" width="9.0"/>
    <col customWidth="1" min="12" max="18" width="8.13"/>
    <col customWidth="1" min="19" max="20" width="9.13"/>
    <col customWidth="1" hidden="1" min="21" max="26" width="10.5"/>
    <col customWidth="1" min="27" max="27" width="10.5"/>
    <col customWidth="1" min="28" max="28" width="15.88"/>
    <col customWidth="1" min="29" max="29" width="26.13"/>
    <col customWidth="1" min="30" max="30" width="33.63"/>
    <col customWidth="1" min="31" max="70" width="10.5"/>
  </cols>
  <sheetData>
    <row r="1">
      <c r="A1" s="1" t="str">
        <f>"HOY ES " &amp;TEXT( today(),"d/MM/yyyy")</f>
        <v>HOY ES 7/12/2025</v>
      </c>
      <c r="B1" s="2" t="s">
        <v>0</v>
      </c>
      <c r="C1" s="3" t="s">
        <v>1</v>
      </c>
      <c r="D1" s="2" t="s">
        <v>2</v>
      </c>
      <c r="E1" s="3" t="s">
        <v>3</v>
      </c>
      <c r="F1" s="2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2" t="s">
        <v>11</v>
      </c>
      <c r="N1" s="3" t="s">
        <v>12</v>
      </c>
      <c r="O1" s="2" t="s">
        <v>13</v>
      </c>
      <c r="P1" s="3" t="s">
        <v>14</v>
      </c>
      <c r="Q1" s="2" t="s">
        <v>15</v>
      </c>
      <c r="R1" s="3" t="s">
        <v>16</v>
      </c>
      <c r="S1" s="2" t="s">
        <v>17</v>
      </c>
      <c r="T1" s="4" t="s">
        <v>18</v>
      </c>
      <c r="Z1" s="5"/>
      <c r="AA1" s="6" t="str">
        <f>IMAGE("https://api.qrserver.com/v1/create-qr-code/?size=150x150&amp;data="&amp;ENCODEURL("https://docs.google.com/document/d/1gjIwbGAlTnunQjAVonl6Q5guNEwXtAixnWTY4llQ6Yo?usp=drive_fs"))</f>
        <v/>
      </c>
      <c r="AB1" s="7" t="s">
        <v>19</v>
      </c>
      <c r="AC1" s="8" t="s">
        <v>20</v>
      </c>
      <c r="AD1" s="9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</row>
    <row r="2" ht="26.25" customHeight="1">
      <c r="A2" s="10" t="s">
        <v>21</v>
      </c>
      <c r="B2" s="11">
        <f t="shared" ref="B2:T2" si="1">SUM(B6:B36)</f>
        <v>89</v>
      </c>
      <c r="C2" s="11">
        <f t="shared" si="1"/>
        <v>102</v>
      </c>
      <c r="D2" s="11">
        <f t="shared" si="1"/>
        <v>93</v>
      </c>
      <c r="E2" s="11">
        <f t="shared" si="1"/>
        <v>93</v>
      </c>
      <c r="F2" s="11">
        <f t="shared" si="1"/>
        <v>89</v>
      </c>
      <c r="G2" s="11">
        <f t="shared" si="1"/>
        <v>86</v>
      </c>
      <c r="H2" s="11">
        <f t="shared" si="1"/>
        <v>85</v>
      </c>
      <c r="I2" s="11">
        <f t="shared" si="1"/>
        <v>83</v>
      </c>
      <c r="J2" s="11">
        <f t="shared" si="1"/>
        <v>92</v>
      </c>
      <c r="K2" s="11">
        <f t="shared" si="1"/>
        <v>80</v>
      </c>
      <c r="L2" s="11">
        <f t="shared" si="1"/>
        <v>87</v>
      </c>
      <c r="M2" s="11">
        <f t="shared" si="1"/>
        <v>88</v>
      </c>
      <c r="N2" s="11">
        <f t="shared" si="1"/>
        <v>80</v>
      </c>
      <c r="O2" s="11">
        <f t="shared" si="1"/>
        <v>78</v>
      </c>
      <c r="P2" s="11">
        <f t="shared" si="1"/>
        <v>77</v>
      </c>
      <c r="Q2" s="11">
        <f t="shared" si="1"/>
        <v>85</v>
      </c>
      <c r="R2" s="11">
        <f t="shared" si="1"/>
        <v>85</v>
      </c>
      <c r="S2" s="11">
        <f t="shared" si="1"/>
        <v>84</v>
      </c>
      <c r="T2" s="11">
        <f t="shared" si="1"/>
        <v>92</v>
      </c>
      <c r="AC2" s="12" t="s">
        <v>22</v>
      </c>
      <c r="AD2" s="13" t="s">
        <v>23</v>
      </c>
    </row>
    <row r="3">
      <c r="A3" s="14" t="s">
        <v>24</v>
      </c>
      <c r="B3" s="15">
        <f t="shared" ref="B3:N3" si="2">(SUMIF(B6:B36,3)/-3)+(SUMIF(B6:B36,2)*-1)+(SUMIF(B6:B36,1)*-3)+(SUMIF(B6:B36,10)*0.3)+ROUND((SUMIF(B6:B36,11)*0.4545454545),0)+ROUND((SUMIF(B6:B36,12)*0.83333333333),0)+ROUND((SUMIF(B6:B36,13)/0.86666667),0)+ROUND((SUMIF(B6:B36,14)/0.46666667),0)</f>
        <v>3</v>
      </c>
      <c r="C3" s="15">
        <f t="shared" si="2"/>
        <v>6</v>
      </c>
      <c r="D3" s="15">
        <f t="shared" si="2"/>
        <v>0</v>
      </c>
      <c r="E3" s="15">
        <f t="shared" si="2"/>
        <v>3</v>
      </c>
      <c r="F3" s="15">
        <f t="shared" si="2"/>
        <v>2</v>
      </c>
      <c r="G3" s="15">
        <f t="shared" si="2"/>
        <v>-1</v>
      </c>
      <c r="H3" s="15">
        <f t="shared" si="2"/>
        <v>-1</v>
      </c>
      <c r="I3" s="15">
        <f t="shared" si="2"/>
        <v>2</v>
      </c>
      <c r="J3" s="15">
        <f t="shared" si="2"/>
        <v>8</v>
      </c>
      <c r="K3" s="15">
        <f t="shared" si="2"/>
        <v>2</v>
      </c>
      <c r="L3" s="15">
        <f t="shared" si="2"/>
        <v>-1</v>
      </c>
      <c r="M3" s="15">
        <f t="shared" si="2"/>
        <v>-1</v>
      </c>
      <c r="N3" s="15">
        <f t="shared" si="2"/>
        <v>0</v>
      </c>
      <c r="O3" s="15">
        <f>(SUMIF(O6:O36,3)/-3)+(SUMIF(O6:O36,2)*-1)+(SUMIF(O6:O36,1)*-3)+(SUMIF(O6:O36,10)*0.3)+ROUND((SUMIF(O6:O36,11)*0.4545454545),0)+ROUND((SUMIF(O6:O36,12)*0.83333333333),0)+ROUND((SUMIF(O6:O36,13)/0.86666667),0)+ROUND((SUMIF(O6:O36,14)/0.46666667),0)-9-12</f>
        <v>-23</v>
      </c>
      <c r="P3" s="15">
        <f>(SUMIF(P6:P36,3)/-3)+(SUMIF(P6:P36,2)*-1)+(SUMIF(P6:P36,1)*-3)+(SUMIF(P6:P36,10)*0.3)+ROUND((SUMIF(P6:P36,11)*0.4545454545),0)+ROUND((SUMIF(P6:P36,12)*0.83333333333),0)+ROUND((SUMIF(P6:P36,13)/0.86666667),0)+ROUND((SUMIF(P6:P36,14)/0.46666667),0)</f>
        <v>-2</v>
      </c>
      <c r="Q3" s="15">
        <f>(SUMIF(Q6:Q36,3)/-3)+(SUMIF(Q6:Q36,2)*-1)+(SUMIF(Q6:Q36,1)*-3)+(SUMIF(Q6:Q36,10)*0.3)+ROUND((SUMIF(Q6:Q36,11)*0.4545454545),0)+ROUND((SUMIF(Q6:Q36,12)*0.83333333333),0)+ROUND((SUMIF(Q6:Q36,13)/0.86666667),0)+ROUND((SUMIF(Q6:Q36,14)/0.46666667),0)-14</f>
        <v>-15</v>
      </c>
      <c r="R3" s="15">
        <f t="shared" ref="R3:T3" si="3">(SUMIF(R6:R36,3)/-3)+(SUMIF(R6:R36,2)*-1)+(SUMIF(R6:R36,1)*-3)+(SUMIF(R6:R36,10)*0.3)+ROUND((SUMIF(R6:R36,11)*0.4545454545),0)+ROUND((SUMIF(R6:R36,12)*0.83333333333),0)+ROUND((SUMIF(R6:R36,13)/0.86666667),0)+ROUND((SUMIF(R6:R36,14)/0.46666667),0)</f>
        <v>0</v>
      </c>
      <c r="S3" s="15">
        <f t="shared" si="3"/>
        <v>-1</v>
      </c>
      <c r="T3" s="15">
        <f t="shared" si="3"/>
        <v>1</v>
      </c>
      <c r="U3" s="5" t="s">
        <v>25</v>
      </c>
      <c r="V3" s="5" t="s">
        <v>26</v>
      </c>
      <c r="AC3" s="16" t="s">
        <v>27</v>
      </c>
      <c r="AD3" s="17" t="s">
        <v>28</v>
      </c>
    </row>
    <row r="4" ht="24.0" customHeight="1">
      <c r="A4" s="18" t="s">
        <v>29</v>
      </c>
      <c r="B4" s="19">
        <f t="shared" ref="B4:T4" si="4">SUM(B2+B3)</f>
        <v>92</v>
      </c>
      <c r="C4" s="19">
        <f t="shared" si="4"/>
        <v>108</v>
      </c>
      <c r="D4" s="19">
        <f t="shared" si="4"/>
        <v>93</v>
      </c>
      <c r="E4" s="19">
        <f t="shared" si="4"/>
        <v>96</v>
      </c>
      <c r="F4" s="19">
        <f t="shared" si="4"/>
        <v>91</v>
      </c>
      <c r="G4" s="19">
        <f t="shared" si="4"/>
        <v>85</v>
      </c>
      <c r="H4" s="19">
        <f t="shared" si="4"/>
        <v>84</v>
      </c>
      <c r="I4" s="19">
        <f t="shared" si="4"/>
        <v>85</v>
      </c>
      <c r="J4" s="19">
        <f t="shared" si="4"/>
        <v>100</v>
      </c>
      <c r="K4" s="19">
        <f t="shared" si="4"/>
        <v>82</v>
      </c>
      <c r="L4" s="19">
        <f t="shared" si="4"/>
        <v>86</v>
      </c>
      <c r="M4" s="19">
        <f t="shared" si="4"/>
        <v>87</v>
      </c>
      <c r="N4" s="19">
        <f t="shared" si="4"/>
        <v>80</v>
      </c>
      <c r="O4" s="19">
        <f t="shared" si="4"/>
        <v>55</v>
      </c>
      <c r="P4" s="19">
        <f t="shared" si="4"/>
        <v>75</v>
      </c>
      <c r="Q4" s="19">
        <f t="shared" si="4"/>
        <v>70</v>
      </c>
      <c r="R4" s="19">
        <f t="shared" si="4"/>
        <v>85</v>
      </c>
      <c r="S4" s="19">
        <f t="shared" si="4"/>
        <v>83</v>
      </c>
      <c r="T4" s="19">
        <f t="shared" si="4"/>
        <v>93</v>
      </c>
      <c r="V4" s="5">
        <f>MIN(V6:V36)</f>
        <v>19</v>
      </c>
      <c r="W4" s="20">
        <f t="array" ref="W4">INDIRECT("T"&amp;V4)</f>
        <v>5</v>
      </c>
      <c r="Y4" s="20">
        <f t="array" ref="Y4">INDIRECT("W"&amp;ACIERTOS!V4)</f>
        <v>3</v>
      </c>
      <c r="Z4" s="20">
        <f t="array" ref="Z4">INDIRECT("X"&amp;ACIERTOS!V4)</f>
        <v>7</v>
      </c>
      <c r="AC4" s="21" t="s">
        <v>30</v>
      </c>
      <c r="AD4" s="22"/>
    </row>
    <row r="5" ht="6.0" customHeight="1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3"/>
      <c r="V5" s="23"/>
      <c r="W5" s="23"/>
      <c r="X5" s="23"/>
      <c r="Y5" s="23"/>
      <c r="Z5" s="23"/>
      <c r="AA5" s="25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>
      <c r="A6" s="26" t="s">
        <v>31</v>
      </c>
      <c r="B6" s="27">
        <f>IFERROR(__xludf.DUMMYFUNCTION("importrange(""https://docs.google.com/spreadsheets/d/1Jvfm9oTtBCSN1OIjWY59tP0zenJ0L_6-CTwiuVK53zo/edit?usp=drive_link"",""Pronósticos!b19:T19"")"),6.0)</f>
        <v>6</v>
      </c>
      <c r="C6" s="27">
        <f>IFERROR(__xludf.DUMMYFUNCTION("""COMPUTED_VALUE"""),8.0)</f>
        <v>8</v>
      </c>
      <c r="D6" s="27">
        <f>IFERROR(__xludf.DUMMYFUNCTION("""COMPUTED_VALUE"""),7.0)</f>
        <v>7</v>
      </c>
      <c r="E6" s="27">
        <f>IFERROR(__xludf.DUMMYFUNCTION("""COMPUTED_VALUE"""),7.0)</f>
        <v>7</v>
      </c>
      <c r="F6" s="27">
        <f>IFERROR(__xludf.DUMMYFUNCTION("""COMPUTED_VALUE"""),8.0)</f>
        <v>8</v>
      </c>
      <c r="G6" s="27">
        <f>IFERROR(__xludf.DUMMYFUNCTION("""COMPUTED_VALUE"""),7.0)</f>
        <v>7</v>
      </c>
      <c r="H6" s="28">
        <f>IFERROR(__xludf.DUMMYFUNCTION("""COMPUTED_VALUE"""),8.0)</f>
        <v>8</v>
      </c>
      <c r="I6" s="28">
        <f>IFERROR(__xludf.DUMMYFUNCTION("""COMPUTED_VALUE"""),7.0)</f>
        <v>7</v>
      </c>
      <c r="J6" s="27">
        <f>IFERROR(__xludf.DUMMYFUNCTION("""COMPUTED_VALUE"""),6.0)</f>
        <v>6</v>
      </c>
      <c r="K6" s="27">
        <f>IFERROR(__xludf.DUMMYFUNCTION("""COMPUTED_VALUE"""),5.0)</f>
        <v>5</v>
      </c>
      <c r="L6" s="27">
        <f>IFERROR(__xludf.DUMMYFUNCTION("""COMPUTED_VALUE"""),4.0)</f>
        <v>4</v>
      </c>
      <c r="M6" s="27">
        <f>IFERROR(__xludf.DUMMYFUNCTION("""COMPUTED_VALUE"""),7.0)</f>
        <v>7</v>
      </c>
      <c r="N6" s="27">
        <f>IFERROR(__xludf.DUMMYFUNCTION("""COMPUTED_VALUE"""),5.0)</f>
        <v>5</v>
      </c>
      <c r="O6" s="27">
        <f>IFERROR(__xludf.DUMMYFUNCTION("""COMPUTED_VALUE"""),8.0)</f>
        <v>8</v>
      </c>
      <c r="P6" s="27">
        <f>IFERROR(__xludf.DUMMYFUNCTION("""COMPUTED_VALUE"""),3.0)</f>
        <v>3</v>
      </c>
      <c r="Q6" s="27">
        <f>IFERROR(__xludf.DUMMYFUNCTION("""COMPUTED_VALUE"""),5.0)</f>
        <v>5</v>
      </c>
      <c r="R6" s="27">
        <f>IFERROR(__xludf.DUMMYFUNCTION("""COMPUTED_VALUE"""),7.0)</f>
        <v>7</v>
      </c>
      <c r="S6" s="27">
        <f>IFERROR(__xludf.DUMMYFUNCTION("""COMPUTED_VALUE"""),6.0)</f>
        <v>6</v>
      </c>
      <c r="T6" s="27">
        <f>IFERROR(__xludf.DUMMYFUNCTION("""COMPUTED_VALUE"""),7.0)</f>
        <v>7</v>
      </c>
      <c r="U6" s="20">
        <f t="shared" ref="U6:U60" si="5">SUM(B6:T6)</f>
        <v>121</v>
      </c>
      <c r="V6">
        <f t="shared" ref="V6:V60" si="6">IF(U6=0,ROW()-1,1000)</f>
        <v>1000</v>
      </c>
      <c r="W6" s="20">
        <f t="shared" ref="W6:W60" si="7">MIN(B6:T6)</f>
        <v>3</v>
      </c>
      <c r="X6" s="20">
        <f t="shared" ref="X6:X60" si="8">MAX(B6:T6)</f>
        <v>8</v>
      </c>
      <c r="AA6" s="29"/>
      <c r="AB6" s="29"/>
    </row>
    <row r="7">
      <c r="A7" s="26" t="s">
        <v>32</v>
      </c>
      <c r="B7" s="27">
        <f>IFERROR(__xludf.DUMMYFUNCTION("importrange(""https://docs.google.com/spreadsheets/d/1zMBIWWvDp7twBfWAxwgFdtNnaZlE1Qu7bv0JpkCAdVU/edit?usp=drive_link"",""Pronósticos!b19:T19"")"),6.0)</f>
        <v>6</v>
      </c>
      <c r="C7" s="27">
        <f>IFERROR(__xludf.DUMMYFUNCTION("""COMPUTED_VALUE"""),5.0)</f>
        <v>5</v>
      </c>
      <c r="D7" s="27">
        <f>IFERROR(__xludf.DUMMYFUNCTION("""COMPUTED_VALUE"""),9.0)</f>
        <v>9</v>
      </c>
      <c r="E7" s="27">
        <f>IFERROR(__xludf.DUMMYFUNCTION("""COMPUTED_VALUE"""),9.0)</f>
        <v>9</v>
      </c>
      <c r="F7" s="27">
        <f>IFERROR(__xludf.DUMMYFUNCTION("""COMPUTED_VALUE"""),8.0)</f>
        <v>8</v>
      </c>
      <c r="G7" s="27">
        <f>IFERROR(__xludf.DUMMYFUNCTION("""COMPUTED_VALUE"""),4.0)</f>
        <v>4</v>
      </c>
      <c r="H7" s="28">
        <f>IFERROR(__xludf.DUMMYFUNCTION("""COMPUTED_VALUE"""),6.0)</f>
        <v>6</v>
      </c>
      <c r="I7" s="28">
        <f>IFERROR(__xludf.DUMMYFUNCTION("""COMPUTED_VALUE"""),7.0)</f>
        <v>7</v>
      </c>
      <c r="J7" s="27">
        <f>IFERROR(__xludf.DUMMYFUNCTION("""COMPUTED_VALUE"""),11.0)</f>
        <v>11</v>
      </c>
      <c r="K7" s="27">
        <f>IFERROR(__xludf.DUMMYFUNCTION("""COMPUTED_VALUE"""),5.0)</f>
        <v>5</v>
      </c>
      <c r="L7" s="27">
        <f>IFERROR(__xludf.DUMMYFUNCTION("""COMPUTED_VALUE"""),5.0)</f>
        <v>5</v>
      </c>
      <c r="M7" s="27">
        <f>IFERROR(__xludf.DUMMYFUNCTION("""COMPUTED_VALUE"""),7.0)</f>
        <v>7</v>
      </c>
      <c r="N7" s="27">
        <f>IFERROR(__xludf.DUMMYFUNCTION("""COMPUTED_VALUE"""),4.0)</f>
        <v>4</v>
      </c>
      <c r="O7" s="27">
        <f>IFERROR(__xludf.DUMMYFUNCTION("""COMPUTED_VALUE"""),3.0)</f>
        <v>3</v>
      </c>
      <c r="P7" s="27">
        <f>IFERROR(__xludf.DUMMYFUNCTION("""COMPUTED_VALUE"""),6.0)</f>
        <v>6</v>
      </c>
      <c r="Q7" s="27">
        <f>IFERROR(__xludf.DUMMYFUNCTION("""COMPUTED_VALUE"""),5.0)</f>
        <v>5</v>
      </c>
      <c r="R7" s="27">
        <f>IFERROR(__xludf.DUMMYFUNCTION("""COMPUTED_VALUE"""),8.0)</f>
        <v>8</v>
      </c>
      <c r="S7" s="27">
        <f>IFERROR(__xludf.DUMMYFUNCTION("""COMPUTED_VALUE"""),5.0)</f>
        <v>5</v>
      </c>
      <c r="T7" s="27">
        <f>IFERROR(__xludf.DUMMYFUNCTION("""COMPUTED_VALUE"""),8.0)</f>
        <v>8</v>
      </c>
      <c r="U7" s="20">
        <f t="shared" si="5"/>
        <v>121</v>
      </c>
      <c r="V7">
        <f t="shared" si="6"/>
        <v>1000</v>
      </c>
      <c r="W7" s="20">
        <f t="shared" si="7"/>
        <v>3</v>
      </c>
      <c r="X7" s="20">
        <f t="shared" si="8"/>
        <v>11</v>
      </c>
      <c r="AA7" s="29"/>
      <c r="AB7" s="29"/>
    </row>
    <row r="8">
      <c r="A8" s="26" t="s">
        <v>33</v>
      </c>
      <c r="B8" s="27">
        <f>IFERROR(__xludf.DUMMYFUNCTION("importrange(""https://docs.google.com/spreadsheets/d/1tkZLfNer4qTxIYsh-jkp1200AZ13DREwFLXagYQX6EE/edit?usp=drivesdk"",""Pronósticos!b19:T19"")"),4.0)</f>
        <v>4</v>
      </c>
      <c r="C8" s="27">
        <f>IFERROR(__xludf.DUMMYFUNCTION("""COMPUTED_VALUE"""),9.0)</f>
        <v>9</v>
      </c>
      <c r="D8" s="27">
        <f>IFERROR(__xludf.DUMMYFUNCTION("""COMPUTED_VALUE"""),5.0)</f>
        <v>5</v>
      </c>
      <c r="E8" s="27">
        <f>IFERROR(__xludf.DUMMYFUNCTION("""COMPUTED_VALUE"""),6.0)</f>
        <v>6</v>
      </c>
      <c r="F8" s="27">
        <f>IFERROR(__xludf.DUMMYFUNCTION("""COMPUTED_VALUE"""),7.0)</f>
        <v>7</v>
      </c>
      <c r="G8" s="27">
        <f>IFERROR(__xludf.DUMMYFUNCTION("""COMPUTED_VALUE"""),6.0)</f>
        <v>6</v>
      </c>
      <c r="H8" s="28">
        <f>IFERROR(__xludf.DUMMYFUNCTION("""COMPUTED_VALUE"""),5.0)</f>
        <v>5</v>
      </c>
      <c r="I8" s="28">
        <f>IFERROR(__xludf.DUMMYFUNCTION("""COMPUTED_VALUE"""),5.0)</f>
        <v>5</v>
      </c>
      <c r="J8" s="27">
        <f>IFERROR(__xludf.DUMMYFUNCTION("""COMPUTED_VALUE"""),5.0)</f>
        <v>5</v>
      </c>
      <c r="K8" s="27">
        <f>IFERROR(__xludf.DUMMYFUNCTION("""COMPUTED_VALUE"""),8.0)</f>
        <v>8</v>
      </c>
      <c r="L8" s="27">
        <f>IFERROR(__xludf.DUMMYFUNCTION("""COMPUTED_VALUE"""),4.0)</f>
        <v>4</v>
      </c>
      <c r="M8" s="27">
        <f>IFERROR(__xludf.DUMMYFUNCTION("""COMPUTED_VALUE"""),7.0)</f>
        <v>7</v>
      </c>
      <c r="N8" s="27">
        <f>IFERROR(__xludf.DUMMYFUNCTION("""COMPUTED_VALUE"""),6.0)</f>
        <v>6</v>
      </c>
      <c r="O8" s="27">
        <f>IFERROR(__xludf.DUMMYFUNCTION("""COMPUTED_VALUE"""),5.0)</f>
        <v>5</v>
      </c>
      <c r="P8" s="27">
        <f>IFERROR(__xludf.DUMMYFUNCTION("""COMPUTED_VALUE"""),5.0)</f>
        <v>5</v>
      </c>
      <c r="Q8" s="27">
        <f>IFERROR(__xludf.DUMMYFUNCTION("""COMPUTED_VALUE"""),5.0)</f>
        <v>5</v>
      </c>
      <c r="R8" s="27">
        <f>IFERROR(__xludf.DUMMYFUNCTION("""COMPUTED_VALUE"""),4.0)</f>
        <v>4</v>
      </c>
      <c r="S8" s="27">
        <f>IFERROR(__xludf.DUMMYFUNCTION("""COMPUTED_VALUE"""),3.0)</f>
        <v>3</v>
      </c>
      <c r="T8" s="27">
        <f>IFERROR(__xludf.DUMMYFUNCTION("""COMPUTED_VALUE"""),6.0)</f>
        <v>6</v>
      </c>
      <c r="U8" s="20">
        <f t="shared" si="5"/>
        <v>105</v>
      </c>
      <c r="V8">
        <f t="shared" si="6"/>
        <v>1000</v>
      </c>
      <c r="W8" s="20">
        <f t="shared" si="7"/>
        <v>3</v>
      </c>
      <c r="X8" s="20">
        <f t="shared" si="8"/>
        <v>9</v>
      </c>
      <c r="AA8" s="30"/>
      <c r="AB8" s="30"/>
    </row>
    <row r="9">
      <c r="A9" s="26" t="s">
        <v>34</v>
      </c>
      <c r="B9" s="27">
        <f>IFERROR(__xludf.DUMMYFUNCTION("importrange(""https://docs.google.com/spreadsheets/d/1K2Skd7nFUZTsLO0AlTsCZ621MJI1sFjwXrYs6954iFw/edit?usp=drive_link"",""Pronósticos!b19:T19"")"),6.0)</f>
        <v>6</v>
      </c>
      <c r="C9" s="27">
        <f>IFERROR(__xludf.DUMMYFUNCTION("""COMPUTED_VALUE"""),10.0)</f>
        <v>10</v>
      </c>
      <c r="D9" s="27">
        <f>IFERROR(__xludf.DUMMYFUNCTION("""COMPUTED_VALUE"""),8.0)</f>
        <v>8</v>
      </c>
      <c r="E9" s="27">
        <f>IFERROR(__xludf.DUMMYFUNCTION("""COMPUTED_VALUE"""),7.0)</f>
        <v>7</v>
      </c>
      <c r="F9" s="27">
        <f>IFERROR(__xludf.DUMMYFUNCTION("""COMPUTED_VALUE"""),6.0)</f>
        <v>6</v>
      </c>
      <c r="G9" s="27">
        <f>IFERROR(__xludf.DUMMYFUNCTION("""COMPUTED_VALUE"""),7.0)</f>
        <v>7</v>
      </c>
      <c r="H9" s="28">
        <f>IFERROR(__xludf.DUMMYFUNCTION("""COMPUTED_VALUE"""),6.0)</f>
        <v>6</v>
      </c>
      <c r="I9" s="28">
        <f>IFERROR(__xludf.DUMMYFUNCTION("""COMPUTED_VALUE"""),6.0)</f>
        <v>6</v>
      </c>
      <c r="J9" s="27">
        <f>IFERROR(__xludf.DUMMYFUNCTION("""COMPUTED_VALUE"""),5.0)</f>
        <v>5</v>
      </c>
      <c r="K9" s="27">
        <f>IFERROR(__xludf.DUMMYFUNCTION("""COMPUTED_VALUE"""),7.0)</f>
        <v>7</v>
      </c>
      <c r="L9" s="27">
        <f>IFERROR(__xludf.DUMMYFUNCTION("""COMPUTED_VALUE"""),6.0)</f>
        <v>6</v>
      </c>
      <c r="M9" s="27">
        <f>IFERROR(__xludf.DUMMYFUNCTION("""COMPUTED_VALUE"""),5.0)</f>
        <v>5</v>
      </c>
      <c r="N9" s="27">
        <f>IFERROR(__xludf.DUMMYFUNCTION("""COMPUTED_VALUE"""),8.0)</f>
        <v>8</v>
      </c>
      <c r="O9" s="27">
        <f>IFERROR(__xludf.DUMMYFUNCTION("""COMPUTED_VALUE"""),7.0)</f>
        <v>7</v>
      </c>
      <c r="P9" s="27">
        <f>IFERROR(__xludf.DUMMYFUNCTION("""COMPUTED_VALUE"""),8.0)</f>
        <v>8</v>
      </c>
      <c r="Q9" s="27">
        <f>IFERROR(__xludf.DUMMYFUNCTION("""COMPUTED_VALUE"""),5.0)</f>
        <v>5</v>
      </c>
      <c r="R9" s="27">
        <f>IFERROR(__xludf.DUMMYFUNCTION("""COMPUTED_VALUE"""),5.0)</f>
        <v>5</v>
      </c>
      <c r="S9" s="27">
        <f>IFERROR(__xludf.DUMMYFUNCTION("""COMPUTED_VALUE"""),6.0)</f>
        <v>6</v>
      </c>
      <c r="T9" s="27">
        <f>IFERROR(__xludf.DUMMYFUNCTION("""COMPUTED_VALUE"""),7.0)</f>
        <v>7</v>
      </c>
      <c r="U9" s="20">
        <f t="shared" si="5"/>
        <v>125</v>
      </c>
      <c r="V9">
        <f t="shared" si="6"/>
        <v>1000</v>
      </c>
      <c r="W9" s="20">
        <f t="shared" si="7"/>
        <v>5</v>
      </c>
      <c r="X9" s="20">
        <f t="shared" si="8"/>
        <v>10</v>
      </c>
      <c r="AA9" s="30"/>
      <c r="AB9" s="30"/>
    </row>
    <row r="10">
      <c r="A10" s="26" t="s">
        <v>35</v>
      </c>
      <c r="B10" s="27">
        <f>IFERROR(__xludf.DUMMYFUNCTION("importrange(""https://docs.google.com/spreadsheets/d/1BoukrEHJNmWjKS6dGa8EX9lhUAn0A4vANtY3fZssyhI/edit?usp=drivesdk"",""Pronósticos!b19:T19"")"),8.0)</f>
        <v>8</v>
      </c>
      <c r="C10" s="27">
        <f>IFERROR(__xludf.DUMMYFUNCTION("""COMPUTED_VALUE"""),10.0)</f>
        <v>10</v>
      </c>
      <c r="D10" s="27">
        <f>IFERROR(__xludf.DUMMYFUNCTION("""COMPUTED_VALUE"""),8.0)</f>
        <v>8</v>
      </c>
      <c r="E10" s="27">
        <f>IFERROR(__xludf.DUMMYFUNCTION("""COMPUTED_VALUE"""),7.0)</f>
        <v>7</v>
      </c>
      <c r="F10" s="27">
        <f>IFERROR(__xludf.DUMMYFUNCTION("""COMPUTED_VALUE"""),8.0)</f>
        <v>8</v>
      </c>
      <c r="G10" s="27">
        <f>IFERROR(__xludf.DUMMYFUNCTION("""COMPUTED_VALUE"""),6.0)</f>
        <v>6</v>
      </c>
      <c r="H10" s="28">
        <f>IFERROR(__xludf.DUMMYFUNCTION("""COMPUTED_VALUE"""),6.0)</f>
        <v>6</v>
      </c>
      <c r="I10" s="28">
        <f>IFERROR(__xludf.DUMMYFUNCTION("""COMPUTED_VALUE"""),5.0)</f>
        <v>5</v>
      </c>
      <c r="J10" s="27">
        <f>IFERROR(__xludf.DUMMYFUNCTION("""COMPUTED_VALUE"""),7.0)</f>
        <v>7</v>
      </c>
      <c r="K10" s="27">
        <f>IFERROR(__xludf.DUMMYFUNCTION("""COMPUTED_VALUE"""),8.0)</f>
        <v>8</v>
      </c>
      <c r="L10" s="27">
        <f>IFERROR(__xludf.DUMMYFUNCTION("""COMPUTED_VALUE"""),9.0)</f>
        <v>9</v>
      </c>
      <c r="M10" s="27">
        <f>IFERROR(__xludf.DUMMYFUNCTION("""COMPUTED_VALUE"""),7.0)</f>
        <v>7</v>
      </c>
      <c r="N10" s="27">
        <f>IFERROR(__xludf.DUMMYFUNCTION("""COMPUTED_VALUE"""),5.0)</f>
        <v>5</v>
      </c>
      <c r="O10" s="27">
        <f>IFERROR(__xludf.DUMMYFUNCTION("""COMPUTED_VALUE"""),5.0)</f>
        <v>5</v>
      </c>
      <c r="P10" s="27">
        <f>IFERROR(__xludf.DUMMYFUNCTION("""COMPUTED_VALUE"""),7.0)</f>
        <v>7</v>
      </c>
      <c r="Q10" s="27">
        <f>IFERROR(__xludf.DUMMYFUNCTION("""COMPUTED_VALUE"""),7.0)</f>
        <v>7</v>
      </c>
      <c r="R10" s="27">
        <f>IFERROR(__xludf.DUMMYFUNCTION("""COMPUTED_VALUE"""),5.0)</f>
        <v>5</v>
      </c>
      <c r="S10" s="27">
        <f>IFERROR(__xludf.DUMMYFUNCTION("""COMPUTED_VALUE"""),5.0)</f>
        <v>5</v>
      </c>
      <c r="T10" s="27">
        <f>IFERROR(__xludf.DUMMYFUNCTION("""COMPUTED_VALUE"""),9.0)</f>
        <v>9</v>
      </c>
      <c r="U10" s="20">
        <f t="shared" si="5"/>
        <v>132</v>
      </c>
      <c r="V10">
        <f t="shared" si="6"/>
        <v>1000</v>
      </c>
      <c r="W10" s="20">
        <f t="shared" si="7"/>
        <v>5</v>
      </c>
      <c r="X10" s="20">
        <f t="shared" si="8"/>
        <v>10</v>
      </c>
      <c r="AA10" s="30"/>
      <c r="AB10" s="30"/>
    </row>
    <row r="11">
      <c r="A11" s="26" t="s">
        <v>36</v>
      </c>
      <c r="B11" s="27">
        <f>IFERROR(__xludf.DUMMYFUNCTION("importrange(""https://docs.google.com/spreadsheets/d/1CTti2oQ9oiS_-BGkDEgeAzjpePK9FhCH64xuOsZGhU8/edit?usp=drivesdk"",""Pronósticos!b19:T19"")"),4.0)</f>
        <v>4</v>
      </c>
      <c r="C11" s="27">
        <f>IFERROR(__xludf.DUMMYFUNCTION("""COMPUTED_VALUE"""),5.0)</f>
        <v>5</v>
      </c>
      <c r="D11" s="27">
        <f>IFERROR(__xludf.DUMMYFUNCTION("""COMPUTED_VALUE"""),5.0)</f>
        <v>5</v>
      </c>
      <c r="E11" s="27">
        <f>IFERROR(__xludf.DUMMYFUNCTION("""COMPUTED_VALUE"""),5.0)</f>
        <v>5</v>
      </c>
      <c r="F11" s="27">
        <f>IFERROR(__xludf.DUMMYFUNCTION("""COMPUTED_VALUE"""),9.0)</f>
        <v>9</v>
      </c>
      <c r="G11" s="27">
        <f>IFERROR(__xludf.DUMMYFUNCTION("""COMPUTED_VALUE"""),3.0)</f>
        <v>3</v>
      </c>
      <c r="H11" s="28">
        <f>IFERROR(__xludf.DUMMYFUNCTION("""COMPUTED_VALUE"""),4.0)</f>
        <v>4</v>
      </c>
      <c r="I11" s="28">
        <f>IFERROR(__xludf.DUMMYFUNCTION("""COMPUTED_VALUE"""),6.0)</f>
        <v>6</v>
      </c>
      <c r="J11" s="27">
        <f>IFERROR(__xludf.DUMMYFUNCTION("""COMPUTED_VALUE"""),5.0)</f>
        <v>5</v>
      </c>
      <c r="K11" s="27">
        <f>IFERROR(__xludf.DUMMYFUNCTION("""COMPUTED_VALUE"""),4.0)</f>
        <v>4</v>
      </c>
      <c r="L11" s="27">
        <f>IFERROR(__xludf.DUMMYFUNCTION("""COMPUTED_VALUE"""),3.0)</f>
        <v>3</v>
      </c>
      <c r="M11" s="27">
        <f>IFERROR(__xludf.DUMMYFUNCTION("""COMPUTED_VALUE"""),8.0)</f>
        <v>8</v>
      </c>
      <c r="N11" s="27">
        <f>IFERROR(__xludf.DUMMYFUNCTION("""COMPUTED_VALUE"""),5.0)</f>
        <v>5</v>
      </c>
      <c r="O11" s="27">
        <f>IFERROR(__xludf.DUMMYFUNCTION("""COMPUTED_VALUE"""),5.0)</f>
        <v>5</v>
      </c>
      <c r="P11" s="27">
        <f>IFERROR(__xludf.DUMMYFUNCTION("""COMPUTED_VALUE"""),5.0)</f>
        <v>5</v>
      </c>
      <c r="Q11" s="27">
        <f>IFERROR(__xludf.DUMMYFUNCTION("""COMPUTED_VALUE"""),6.0)</f>
        <v>6</v>
      </c>
      <c r="R11" s="27">
        <f>IFERROR(__xludf.DUMMYFUNCTION("""COMPUTED_VALUE"""),5.0)</f>
        <v>5</v>
      </c>
      <c r="S11" s="27">
        <f>IFERROR(__xludf.DUMMYFUNCTION("""COMPUTED_VALUE"""),7.0)</f>
        <v>7</v>
      </c>
      <c r="T11" s="27">
        <f>IFERROR(__xludf.DUMMYFUNCTION("""COMPUTED_VALUE"""),4.0)</f>
        <v>4</v>
      </c>
      <c r="U11" s="20">
        <f t="shared" si="5"/>
        <v>98</v>
      </c>
      <c r="V11">
        <f t="shared" si="6"/>
        <v>1000</v>
      </c>
      <c r="W11" s="20">
        <f t="shared" si="7"/>
        <v>3</v>
      </c>
      <c r="X11" s="20">
        <f t="shared" si="8"/>
        <v>9</v>
      </c>
      <c r="AA11" s="30"/>
      <c r="AB11" s="30"/>
    </row>
    <row r="12">
      <c r="A12" s="26" t="s">
        <v>37</v>
      </c>
      <c r="B12" s="27">
        <f>IFERROR(__xludf.DUMMYFUNCTION("importrange(""https://docs.google.com/spreadsheets/d/1KSXSTRUa5PVp95p82N_jIb2K2N3j-7quVwj8X9bV_Uo/edit?usp=drivesdk"",""Pronósticos!b19:T19"")"),5.0)</f>
        <v>5</v>
      </c>
      <c r="C12" s="27">
        <f>IFERROR(__xludf.DUMMYFUNCTION("""COMPUTED_VALUE"""),6.0)</f>
        <v>6</v>
      </c>
      <c r="D12" s="27">
        <f>IFERROR(__xludf.DUMMYFUNCTION("""COMPUTED_VALUE"""),7.0)</f>
        <v>7</v>
      </c>
      <c r="E12" s="27">
        <f>IFERROR(__xludf.DUMMYFUNCTION("""COMPUTED_VALUE"""),4.0)</f>
        <v>4</v>
      </c>
      <c r="F12" s="27">
        <f>IFERROR(__xludf.DUMMYFUNCTION("""COMPUTED_VALUE"""),4.0)</f>
        <v>4</v>
      </c>
      <c r="G12" s="27">
        <f>IFERROR(__xludf.DUMMYFUNCTION("""COMPUTED_VALUE"""),7.0)</f>
        <v>7</v>
      </c>
      <c r="H12" s="28">
        <f>IFERROR(__xludf.DUMMYFUNCTION("""COMPUTED_VALUE"""),4.0)</f>
        <v>4</v>
      </c>
      <c r="I12" s="28">
        <f>IFERROR(__xludf.DUMMYFUNCTION("""COMPUTED_VALUE"""),3.0)</f>
        <v>3</v>
      </c>
      <c r="J12" s="27">
        <f>IFERROR(__xludf.DUMMYFUNCTION("""COMPUTED_VALUE"""),6.0)</f>
        <v>6</v>
      </c>
      <c r="K12" s="27">
        <f>IFERROR(__xludf.DUMMYFUNCTION("""COMPUTED_VALUE"""),5.0)</f>
        <v>5</v>
      </c>
      <c r="L12" s="27">
        <f>IFERROR(__xludf.DUMMYFUNCTION("""COMPUTED_VALUE"""),5.0)</f>
        <v>5</v>
      </c>
      <c r="M12" s="27">
        <f>IFERROR(__xludf.DUMMYFUNCTION("""COMPUTED_VALUE"""),5.0)</f>
        <v>5</v>
      </c>
      <c r="N12" s="27">
        <f>IFERROR(__xludf.DUMMYFUNCTION("""COMPUTED_VALUE"""),5.0)</f>
        <v>5</v>
      </c>
      <c r="O12" s="27">
        <f>IFERROR(__xludf.DUMMYFUNCTION("""COMPUTED_VALUE"""),5.0)</f>
        <v>5</v>
      </c>
      <c r="P12" s="27">
        <f>IFERROR(__xludf.DUMMYFUNCTION("""COMPUTED_VALUE"""),4.0)</f>
        <v>4</v>
      </c>
      <c r="Q12" s="27">
        <f>IFERROR(__xludf.DUMMYFUNCTION("""COMPUTED_VALUE"""),3.0)</f>
        <v>3</v>
      </c>
      <c r="R12" s="27">
        <f>IFERROR(__xludf.DUMMYFUNCTION("""COMPUTED_VALUE"""),4.0)</f>
        <v>4</v>
      </c>
      <c r="S12" s="27">
        <f>IFERROR(__xludf.DUMMYFUNCTION("""COMPUTED_VALUE"""),5.0)</f>
        <v>5</v>
      </c>
      <c r="T12" s="27">
        <f>IFERROR(__xludf.DUMMYFUNCTION("""COMPUTED_VALUE"""),2.0)</f>
        <v>2</v>
      </c>
      <c r="U12" s="20">
        <f t="shared" si="5"/>
        <v>89</v>
      </c>
      <c r="V12">
        <f t="shared" si="6"/>
        <v>1000</v>
      </c>
      <c r="W12" s="20">
        <f t="shared" si="7"/>
        <v>2</v>
      </c>
      <c r="X12" s="20">
        <f t="shared" si="8"/>
        <v>7</v>
      </c>
      <c r="AA12" s="30"/>
      <c r="AB12" s="30"/>
    </row>
    <row r="13">
      <c r="A13" s="26" t="s">
        <v>38</v>
      </c>
      <c r="B13" s="27">
        <f>IFERROR(__xludf.DUMMYFUNCTION("importrange(""https://docs.google.com/spreadsheets/d/1cnlSYJgAM3jt-QnO75GvRggeGkRfJ0QUcOX6GPXk6G8/edit?usp=drive_link"",""Pronósticos!b19:T19"")"),7.0)</f>
        <v>7</v>
      </c>
      <c r="C13" s="27">
        <f>IFERROR(__xludf.DUMMYFUNCTION("""COMPUTED_VALUE"""),6.0)</f>
        <v>6</v>
      </c>
      <c r="D13" s="27">
        <f>IFERROR(__xludf.DUMMYFUNCTION("""COMPUTED_VALUE"""),6.0)</f>
        <v>6</v>
      </c>
      <c r="E13" s="27">
        <f>IFERROR(__xludf.DUMMYFUNCTION("""COMPUTED_VALUE"""),6.0)</f>
        <v>6</v>
      </c>
      <c r="F13" s="27">
        <f>IFERROR(__xludf.DUMMYFUNCTION("""COMPUTED_VALUE"""),7.0)</f>
        <v>7</v>
      </c>
      <c r="G13" s="27">
        <f>IFERROR(__xludf.DUMMYFUNCTION("""COMPUTED_VALUE"""),7.0)</f>
        <v>7</v>
      </c>
      <c r="H13" s="28">
        <f>IFERROR(__xludf.DUMMYFUNCTION("""COMPUTED_VALUE"""),7.0)</f>
        <v>7</v>
      </c>
      <c r="I13" s="28">
        <f>IFERROR(__xludf.DUMMYFUNCTION("""COMPUTED_VALUE"""),5.0)</f>
        <v>5</v>
      </c>
      <c r="J13" s="27">
        <f>IFERROR(__xludf.DUMMYFUNCTION("""COMPUTED_VALUE"""),5.0)</f>
        <v>5</v>
      </c>
      <c r="K13" s="27">
        <f>IFERROR(__xludf.DUMMYFUNCTION("""COMPUTED_VALUE"""),5.0)</f>
        <v>5</v>
      </c>
      <c r="L13" s="27">
        <f>IFERROR(__xludf.DUMMYFUNCTION("""COMPUTED_VALUE"""),6.0)</f>
        <v>6</v>
      </c>
      <c r="M13" s="27">
        <f>IFERROR(__xludf.DUMMYFUNCTION("""COMPUTED_VALUE"""),7.0)</f>
        <v>7</v>
      </c>
      <c r="N13" s="27">
        <f>IFERROR(__xludf.DUMMYFUNCTION("""COMPUTED_VALUE"""),4.0)</f>
        <v>4</v>
      </c>
      <c r="O13" s="27">
        <f>IFERROR(__xludf.DUMMYFUNCTION("""COMPUTED_VALUE"""),6.0)</f>
        <v>6</v>
      </c>
      <c r="P13" s="27">
        <f>IFERROR(__xludf.DUMMYFUNCTION("""COMPUTED_VALUE"""),5.0)</f>
        <v>5</v>
      </c>
      <c r="Q13" s="27">
        <f>IFERROR(__xludf.DUMMYFUNCTION("""COMPUTED_VALUE"""),9.0)</f>
        <v>9</v>
      </c>
      <c r="R13" s="27">
        <f>IFERROR(__xludf.DUMMYFUNCTION("""COMPUTED_VALUE"""),6.0)</f>
        <v>6</v>
      </c>
      <c r="S13" s="27">
        <f>IFERROR(__xludf.DUMMYFUNCTION("""COMPUTED_VALUE"""),6.0)</f>
        <v>6</v>
      </c>
      <c r="T13" s="27">
        <f>IFERROR(__xludf.DUMMYFUNCTION("""COMPUTED_VALUE"""),5.0)</f>
        <v>5</v>
      </c>
      <c r="U13" s="20">
        <f t="shared" si="5"/>
        <v>115</v>
      </c>
      <c r="V13">
        <f t="shared" si="6"/>
        <v>1000</v>
      </c>
      <c r="W13" s="20">
        <f t="shared" si="7"/>
        <v>4</v>
      </c>
      <c r="X13" s="20">
        <f t="shared" si="8"/>
        <v>9</v>
      </c>
      <c r="AA13" s="30"/>
      <c r="AB13" s="30"/>
    </row>
    <row r="14">
      <c r="A14" s="31" t="s">
        <v>39</v>
      </c>
      <c r="B14" s="27">
        <f>IFERROR(__xludf.DUMMYFUNCTION("importrange(""https://docs.google.com/spreadsheets/d/1S6Y6hiBBQaJOCkBgP8GAi3eerUQJxCxTJJofQ4dFqO4/edit?usp=drive_link"",""Pronósticos!b19:T19"")"),10.0)</f>
        <v>10</v>
      </c>
      <c r="C14" s="27">
        <f>IFERROR(__xludf.DUMMYFUNCTION("""COMPUTED_VALUE"""),7.0)</f>
        <v>7</v>
      </c>
      <c r="D14" s="27">
        <f>IFERROR(__xludf.DUMMYFUNCTION("""COMPUTED_VALUE"""),9.0)</f>
        <v>9</v>
      </c>
      <c r="E14" s="27">
        <f>IFERROR(__xludf.DUMMYFUNCTION("""COMPUTED_VALUE"""),5.0)</f>
        <v>5</v>
      </c>
      <c r="F14" s="27">
        <f>IFERROR(__xludf.DUMMYFUNCTION("""COMPUTED_VALUE"""),6.0)</f>
        <v>6</v>
      </c>
      <c r="G14" s="27">
        <f>IFERROR(__xludf.DUMMYFUNCTION("""COMPUTED_VALUE"""),4.0)</f>
        <v>4</v>
      </c>
      <c r="H14" s="28">
        <f>IFERROR(__xludf.DUMMYFUNCTION("""COMPUTED_VALUE"""),9.0)</f>
        <v>9</v>
      </c>
      <c r="I14" s="28">
        <f>IFERROR(__xludf.DUMMYFUNCTION("""COMPUTED_VALUE"""),10.0)</f>
        <v>10</v>
      </c>
      <c r="J14" s="27">
        <f>IFERROR(__xludf.DUMMYFUNCTION("""COMPUTED_VALUE"""),6.0)</f>
        <v>6</v>
      </c>
      <c r="K14" s="27">
        <f>IFERROR(__xludf.DUMMYFUNCTION("""COMPUTED_VALUE"""),10.0)</f>
        <v>10</v>
      </c>
      <c r="L14" s="27">
        <f>IFERROR(__xludf.DUMMYFUNCTION("""COMPUTED_VALUE"""),8.0)</f>
        <v>8</v>
      </c>
      <c r="M14" s="27">
        <f>IFERROR(__xludf.DUMMYFUNCTION("""COMPUTED_VALUE"""),7.0)</f>
        <v>7</v>
      </c>
      <c r="N14" s="27">
        <f>IFERROR(__xludf.DUMMYFUNCTION("""COMPUTED_VALUE"""),7.0)</f>
        <v>7</v>
      </c>
      <c r="O14" s="27">
        <f>IFERROR(__xludf.DUMMYFUNCTION("""COMPUTED_VALUE"""),6.0)</f>
        <v>6</v>
      </c>
      <c r="P14" s="27">
        <f>IFERROR(__xludf.DUMMYFUNCTION("""COMPUTED_VALUE"""),6.0)</f>
        <v>6</v>
      </c>
      <c r="Q14" s="27">
        <f>IFERROR(__xludf.DUMMYFUNCTION("""COMPUTED_VALUE"""),7.0)</f>
        <v>7</v>
      </c>
      <c r="R14" s="27">
        <f>IFERROR(__xludf.DUMMYFUNCTION("""COMPUTED_VALUE"""),7.0)</f>
        <v>7</v>
      </c>
      <c r="S14" s="27">
        <f>IFERROR(__xludf.DUMMYFUNCTION("""COMPUTED_VALUE"""),8.0)</f>
        <v>8</v>
      </c>
      <c r="T14" s="27">
        <f>IFERROR(__xludf.DUMMYFUNCTION("""COMPUTED_VALUE"""),8.0)</f>
        <v>8</v>
      </c>
      <c r="U14" s="32">
        <f t="shared" si="5"/>
        <v>140</v>
      </c>
      <c r="V14" s="33">
        <f t="shared" si="6"/>
        <v>1000</v>
      </c>
      <c r="W14" s="32">
        <f t="shared" si="7"/>
        <v>4</v>
      </c>
      <c r="X14" s="32">
        <f t="shared" si="8"/>
        <v>10</v>
      </c>
      <c r="Y14" s="34"/>
      <c r="Z14" s="35"/>
      <c r="AA14" s="36"/>
      <c r="AB14" s="36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</row>
    <row r="15">
      <c r="A15" s="31" t="s">
        <v>40</v>
      </c>
      <c r="B15" s="27">
        <f>IFERROR(__xludf.DUMMYFUNCTION("importrange(""https://docs.google.com/spreadsheets/d/1BMlQOvez5piQ8GNvhhfLjz6axTIfA-AVlM3aJhE1Xv0/edit?usp=drive_link"",""Pronósticos!b19:T19"")"),6.0)</f>
        <v>6</v>
      </c>
      <c r="C15" s="27">
        <f>IFERROR(__xludf.DUMMYFUNCTION("""COMPUTED_VALUE"""),8.0)</f>
        <v>8</v>
      </c>
      <c r="D15" s="27">
        <f>IFERROR(__xludf.DUMMYFUNCTION("""COMPUTED_VALUE"""),9.0)</f>
        <v>9</v>
      </c>
      <c r="E15" s="27">
        <f>IFERROR(__xludf.DUMMYFUNCTION("""COMPUTED_VALUE"""),7.0)</f>
        <v>7</v>
      </c>
      <c r="F15" s="27">
        <f>IFERROR(__xludf.DUMMYFUNCTION("""COMPUTED_VALUE"""),10.0)</f>
        <v>10</v>
      </c>
      <c r="G15" s="27">
        <f>IFERROR(__xludf.DUMMYFUNCTION("""COMPUTED_VALUE"""),9.0)</f>
        <v>9</v>
      </c>
      <c r="H15" s="28">
        <f>IFERROR(__xludf.DUMMYFUNCTION("""COMPUTED_VALUE"""),5.0)</f>
        <v>5</v>
      </c>
      <c r="I15" s="28">
        <f>IFERROR(__xludf.DUMMYFUNCTION("""COMPUTED_VALUE"""),8.0)</f>
        <v>8</v>
      </c>
      <c r="J15" s="27">
        <f>IFERROR(__xludf.DUMMYFUNCTION("""COMPUTED_VALUE"""),10.0)</f>
        <v>10</v>
      </c>
      <c r="K15" s="27">
        <f>IFERROR(__xludf.DUMMYFUNCTION("""COMPUTED_VALUE"""),6.0)</f>
        <v>6</v>
      </c>
      <c r="L15" s="27">
        <f>IFERROR(__xludf.DUMMYFUNCTION("""COMPUTED_VALUE"""),7.0)</f>
        <v>7</v>
      </c>
      <c r="M15" s="27">
        <f>IFERROR(__xludf.DUMMYFUNCTION("""COMPUTED_VALUE"""),6.0)</f>
        <v>6</v>
      </c>
      <c r="N15" s="27">
        <f>IFERROR(__xludf.DUMMYFUNCTION("""COMPUTED_VALUE"""),5.0)</f>
        <v>5</v>
      </c>
      <c r="O15" s="27">
        <f>IFERROR(__xludf.DUMMYFUNCTION("""COMPUTED_VALUE"""),7.0)</f>
        <v>7</v>
      </c>
      <c r="P15" s="27">
        <f>IFERROR(__xludf.DUMMYFUNCTION("""COMPUTED_VALUE"""),7.0)</f>
        <v>7</v>
      </c>
      <c r="Q15" s="37">
        <f>IFERROR(__xludf.DUMMYFUNCTION("""COMPUTED_VALUE"""),9.0)</f>
        <v>9</v>
      </c>
      <c r="R15" s="27">
        <f>IFERROR(__xludf.DUMMYFUNCTION("""COMPUTED_VALUE"""),9.0)</f>
        <v>9</v>
      </c>
      <c r="S15" s="27">
        <f>IFERROR(__xludf.DUMMYFUNCTION("""COMPUTED_VALUE"""),7.0)</f>
        <v>7</v>
      </c>
      <c r="T15" s="27">
        <f>IFERROR(__xludf.DUMMYFUNCTION("""COMPUTED_VALUE"""),10.0)</f>
        <v>10</v>
      </c>
      <c r="U15" s="32">
        <f t="shared" si="5"/>
        <v>145</v>
      </c>
      <c r="V15" s="33">
        <f t="shared" si="6"/>
        <v>1000</v>
      </c>
      <c r="W15" s="32">
        <f t="shared" si="7"/>
        <v>5</v>
      </c>
      <c r="X15" s="32">
        <f t="shared" si="8"/>
        <v>10</v>
      </c>
      <c r="Y15" s="34"/>
      <c r="Z15" s="35"/>
      <c r="AA15" s="36"/>
      <c r="AB15" s="36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</row>
    <row r="16">
      <c r="A16" s="31" t="s">
        <v>41</v>
      </c>
      <c r="B16" s="27">
        <f>IFERROR(__xludf.DUMMYFUNCTION("importrange(""https://docs.google.com/spreadsheets/d/1PA7zQRhzJ7w8EVjvOzdt47hUnA1fav4yTNtJvlaQHE4/edit?usp=drivesdk"",""Pronósticos!b19:T19"")"),8.0)</f>
        <v>8</v>
      </c>
      <c r="C16" s="27">
        <f>IFERROR(__xludf.DUMMYFUNCTION("""COMPUTED_VALUE"""),8.0)</f>
        <v>8</v>
      </c>
      <c r="D16" s="27">
        <f>IFERROR(__xludf.DUMMYFUNCTION("""COMPUTED_VALUE"""),5.0)</f>
        <v>5</v>
      </c>
      <c r="E16" s="27">
        <f>IFERROR(__xludf.DUMMYFUNCTION("""COMPUTED_VALUE"""),8.0)</f>
        <v>8</v>
      </c>
      <c r="F16" s="27">
        <f>IFERROR(__xludf.DUMMYFUNCTION("""COMPUTED_VALUE"""),5.0)</f>
        <v>5</v>
      </c>
      <c r="G16" s="27">
        <f>IFERROR(__xludf.DUMMYFUNCTION("""COMPUTED_VALUE"""),7.0)</f>
        <v>7</v>
      </c>
      <c r="H16" s="28">
        <f>IFERROR(__xludf.DUMMYFUNCTION("""COMPUTED_VALUE"""),7.0)</f>
        <v>7</v>
      </c>
      <c r="I16" s="28">
        <f>IFERROR(__xludf.DUMMYFUNCTION("""COMPUTED_VALUE"""),6.0)</f>
        <v>6</v>
      </c>
      <c r="J16" s="27">
        <f>IFERROR(__xludf.DUMMYFUNCTION("""COMPUTED_VALUE"""),8.0)</f>
        <v>8</v>
      </c>
      <c r="K16" s="27">
        <f>IFERROR(__xludf.DUMMYFUNCTION("""COMPUTED_VALUE"""),6.0)</f>
        <v>6</v>
      </c>
      <c r="L16" s="27">
        <f>IFERROR(__xludf.DUMMYFUNCTION("""COMPUTED_VALUE"""),8.0)</f>
        <v>8</v>
      </c>
      <c r="M16" s="27">
        <f>IFERROR(__xludf.DUMMYFUNCTION("""COMPUTED_VALUE"""),7.0)</f>
        <v>7</v>
      </c>
      <c r="N16" s="27">
        <f>IFERROR(__xludf.DUMMYFUNCTION("""COMPUTED_VALUE"""),7.0)</f>
        <v>7</v>
      </c>
      <c r="O16" s="27">
        <f>IFERROR(__xludf.DUMMYFUNCTION("""COMPUTED_VALUE"""),7.0)</f>
        <v>7</v>
      </c>
      <c r="P16" s="27">
        <f>IFERROR(__xludf.DUMMYFUNCTION("""COMPUTED_VALUE"""),6.0)</f>
        <v>6</v>
      </c>
      <c r="Q16" s="27">
        <f>IFERROR(__xludf.DUMMYFUNCTION("""COMPUTED_VALUE"""),5.0)</f>
        <v>5</v>
      </c>
      <c r="R16" s="27">
        <f>IFERROR(__xludf.DUMMYFUNCTION("""COMPUTED_VALUE"""),7.0)</f>
        <v>7</v>
      </c>
      <c r="S16" s="27">
        <f>IFERROR(__xludf.DUMMYFUNCTION("""COMPUTED_VALUE"""),7.0)</f>
        <v>7</v>
      </c>
      <c r="T16" s="27">
        <f>IFERROR(__xludf.DUMMYFUNCTION("""COMPUTED_VALUE"""),6.0)</f>
        <v>6</v>
      </c>
      <c r="U16" s="32">
        <f t="shared" si="5"/>
        <v>128</v>
      </c>
      <c r="V16" s="33">
        <f t="shared" si="6"/>
        <v>1000</v>
      </c>
      <c r="W16" s="32">
        <f t="shared" si="7"/>
        <v>5</v>
      </c>
      <c r="X16" s="32">
        <f t="shared" si="8"/>
        <v>8</v>
      </c>
      <c r="Y16" s="34"/>
      <c r="Z16" s="35"/>
      <c r="AA16" s="36"/>
      <c r="AB16" s="36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</row>
    <row r="17">
      <c r="A17" s="31" t="s">
        <v>42</v>
      </c>
      <c r="B17" s="27">
        <f>IFERROR(__xludf.DUMMYFUNCTION("importrange(""https://docs.google.com/spreadsheets/d/1JCBsjtCHvuDO72jWAxGHh2iIYQMSgoaDaZ1GU2c2lQI/edit?usp=drive_link"",""Pronósticos!b19:T19"")"),7.0)</f>
        <v>7</v>
      </c>
      <c r="C17" s="27">
        <f>IFERROR(__xludf.DUMMYFUNCTION("""COMPUTED_VALUE"""),8.0)</f>
        <v>8</v>
      </c>
      <c r="D17" s="27">
        <f>IFERROR(__xludf.DUMMYFUNCTION("""COMPUTED_VALUE"""),6.0)</f>
        <v>6</v>
      </c>
      <c r="E17" s="27">
        <f>IFERROR(__xludf.DUMMYFUNCTION("""COMPUTED_VALUE"""),10.0)</f>
        <v>10</v>
      </c>
      <c r="F17" s="27">
        <f>IFERROR(__xludf.DUMMYFUNCTION("""COMPUTED_VALUE"""),4.0)</f>
        <v>4</v>
      </c>
      <c r="G17" s="27">
        <f>IFERROR(__xludf.DUMMYFUNCTION("""COMPUTED_VALUE"""),7.0)</f>
        <v>7</v>
      </c>
      <c r="H17" s="28">
        <f>IFERROR(__xludf.DUMMYFUNCTION("""COMPUTED_VALUE"""),6.0)</f>
        <v>6</v>
      </c>
      <c r="I17" s="28">
        <f>IFERROR(__xludf.DUMMYFUNCTION("""COMPUTED_VALUE"""),5.0)</f>
        <v>5</v>
      </c>
      <c r="J17" s="27">
        <f>IFERROR(__xludf.DUMMYFUNCTION("""COMPUTED_VALUE"""),7.0)</f>
        <v>7</v>
      </c>
      <c r="K17" s="27">
        <f>IFERROR(__xludf.DUMMYFUNCTION("""COMPUTED_VALUE"""),4.0)</f>
        <v>4</v>
      </c>
      <c r="L17" s="27">
        <f>IFERROR(__xludf.DUMMYFUNCTION("""COMPUTED_VALUE"""),9.0)</f>
        <v>9</v>
      </c>
      <c r="M17" s="27">
        <f>IFERROR(__xludf.DUMMYFUNCTION("""COMPUTED_VALUE"""),6.0)</f>
        <v>6</v>
      </c>
      <c r="N17" s="27">
        <f>IFERROR(__xludf.DUMMYFUNCTION("""COMPUTED_VALUE"""),8.0)</f>
        <v>8</v>
      </c>
      <c r="O17" s="37">
        <f>IFERROR(__xludf.DUMMYFUNCTION("""COMPUTED_VALUE"""),4.0)</f>
        <v>4</v>
      </c>
      <c r="P17" s="27">
        <f>IFERROR(__xludf.DUMMYFUNCTION("""COMPUTED_VALUE"""),8.0)</f>
        <v>8</v>
      </c>
      <c r="Q17" s="27">
        <f>IFERROR(__xludf.DUMMYFUNCTION("""COMPUTED_VALUE"""),6.0)</f>
        <v>6</v>
      </c>
      <c r="R17" s="27">
        <f>IFERROR(__xludf.DUMMYFUNCTION("""COMPUTED_VALUE"""),6.0)</f>
        <v>6</v>
      </c>
      <c r="S17" s="27">
        <f>IFERROR(__xludf.DUMMYFUNCTION("""COMPUTED_VALUE"""),9.0)</f>
        <v>9</v>
      </c>
      <c r="T17" s="27">
        <f>IFERROR(__xludf.DUMMYFUNCTION("""COMPUTED_VALUE"""),8.0)</f>
        <v>8</v>
      </c>
      <c r="U17" s="32">
        <f t="shared" si="5"/>
        <v>128</v>
      </c>
      <c r="V17" s="33">
        <f t="shared" si="6"/>
        <v>1000</v>
      </c>
      <c r="W17" s="32">
        <f t="shared" si="7"/>
        <v>4</v>
      </c>
      <c r="X17" s="32">
        <f t="shared" si="8"/>
        <v>10</v>
      </c>
      <c r="Y17" s="34"/>
      <c r="Z17" s="35"/>
      <c r="AA17" s="36"/>
      <c r="AB17" s="36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</row>
    <row r="18">
      <c r="A18" s="31" t="s">
        <v>43</v>
      </c>
      <c r="B18" s="27">
        <f>IFERROR(__xludf.DUMMYFUNCTION("importrange(""https://docs.google.com/spreadsheets/d/1uXeofNiVAWzn67xBCaaXz5YrwlMitQdZshRV3kue8RE?usp=drive_fs"",""Pronósticos!b19:T19"")"),7.0)</f>
        <v>7</v>
      </c>
      <c r="C18" s="27">
        <f>IFERROR(__xludf.DUMMYFUNCTION("""COMPUTED_VALUE"""),6.0)</f>
        <v>6</v>
      </c>
      <c r="D18" s="27">
        <f>IFERROR(__xludf.DUMMYFUNCTION("""COMPUTED_VALUE"""),5.0)</f>
        <v>5</v>
      </c>
      <c r="E18" s="27">
        <f>IFERROR(__xludf.DUMMYFUNCTION("""COMPUTED_VALUE"""),5.0)</f>
        <v>5</v>
      </c>
      <c r="F18" s="27">
        <f>IFERROR(__xludf.DUMMYFUNCTION("""COMPUTED_VALUE"""),4.0)</f>
        <v>4</v>
      </c>
      <c r="G18" s="27">
        <f>IFERROR(__xludf.DUMMYFUNCTION("""COMPUTED_VALUE"""),6.0)</f>
        <v>6</v>
      </c>
      <c r="H18" s="28">
        <f>IFERROR(__xludf.DUMMYFUNCTION("""COMPUTED_VALUE"""),9.0)</f>
        <v>9</v>
      </c>
      <c r="I18" s="28">
        <f>IFERROR(__xludf.DUMMYFUNCTION("""COMPUTED_VALUE"""),5.0)</f>
        <v>5</v>
      </c>
      <c r="J18" s="27">
        <f>IFERROR(__xludf.DUMMYFUNCTION("""COMPUTED_VALUE"""),6.0)</f>
        <v>6</v>
      </c>
      <c r="K18" s="27">
        <f>IFERROR(__xludf.DUMMYFUNCTION("""COMPUTED_VALUE"""),3.0)</f>
        <v>3</v>
      </c>
      <c r="L18" s="27">
        <f>IFERROR(__xludf.DUMMYFUNCTION("""COMPUTED_VALUE"""),7.0)</f>
        <v>7</v>
      </c>
      <c r="M18" s="27">
        <f>IFERROR(__xludf.DUMMYFUNCTION("""COMPUTED_VALUE"""),6.0)</f>
        <v>6</v>
      </c>
      <c r="N18" s="27">
        <f>IFERROR(__xludf.DUMMYFUNCTION("""COMPUTED_VALUE"""),6.0)</f>
        <v>6</v>
      </c>
      <c r="O18" s="38">
        <f>IFERROR(__xludf.DUMMYFUNCTION("""COMPUTED_VALUE"""),7.0)</f>
        <v>7</v>
      </c>
      <c r="P18" s="27">
        <f>IFERROR(__xludf.DUMMYFUNCTION("""COMPUTED_VALUE"""),4.0)</f>
        <v>4</v>
      </c>
      <c r="Q18" s="27">
        <f>IFERROR(__xludf.DUMMYFUNCTION("""COMPUTED_VALUE"""),7.0)</f>
        <v>7</v>
      </c>
      <c r="R18" s="27">
        <f>IFERROR(__xludf.DUMMYFUNCTION("""COMPUTED_VALUE"""),6.0)</f>
        <v>6</v>
      </c>
      <c r="S18" s="27">
        <f>IFERROR(__xludf.DUMMYFUNCTION("""COMPUTED_VALUE"""),5.0)</f>
        <v>5</v>
      </c>
      <c r="T18" s="27">
        <f>IFERROR(__xludf.DUMMYFUNCTION("""COMPUTED_VALUE"""),7.0)</f>
        <v>7</v>
      </c>
      <c r="U18" s="32">
        <f t="shared" si="5"/>
        <v>111</v>
      </c>
      <c r="V18" s="33">
        <f t="shared" si="6"/>
        <v>1000</v>
      </c>
      <c r="W18" s="32">
        <f t="shared" si="7"/>
        <v>3</v>
      </c>
      <c r="X18" s="32">
        <f t="shared" si="8"/>
        <v>9</v>
      </c>
      <c r="Y18" s="34"/>
      <c r="Z18" s="35"/>
      <c r="AA18" s="36"/>
      <c r="AB18" s="36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</row>
    <row r="19">
      <c r="A19" s="31" t="s">
        <v>44</v>
      </c>
      <c r="B19" s="27">
        <f>IFERROR(__xludf.DUMMYFUNCTION("importrange(""https://docs.google.com/spreadsheets/d/1XNwR-Cf-zuoOqNWAwypo8VVASntSn0L_xIzwwfu6R0s?usp=drive_fs"",""Pronósticos!b19:T19"")"),5.0)</f>
        <v>5</v>
      </c>
      <c r="C19" s="27">
        <f>IFERROR(__xludf.DUMMYFUNCTION("""COMPUTED_VALUE"""),6.0)</f>
        <v>6</v>
      </c>
      <c r="D19" s="27">
        <f>IFERROR(__xludf.DUMMYFUNCTION("""COMPUTED_VALUE"""),4.0)</f>
        <v>4</v>
      </c>
      <c r="E19" s="27">
        <f>IFERROR(__xludf.DUMMYFUNCTION("""COMPUTED_VALUE"""),7.0)</f>
        <v>7</v>
      </c>
      <c r="F19" s="27">
        <f>IFERROR(__xludf.DUMMYFUNCTION("""COMPUTED_VALUE"""),3.0)</f>
        <v>3</v>
      </c>
      <c r="G19" s="27">
        <f>IFERROR(__xludf.DUMMYFUNCTION("""COMPUTED_VALUE"""),6.0)</f>
        <v>6</v>
      </c>
      <c r="H19" s="28">
        <f>IFERROR(__xludf.DUMMYFUNCTION("""COMPUTED_VALUE"""),3.0)</f>
        <v>3</v>
      </c>
      <c r="I19" s="28">
        <f>IFERROR(__xludf.DUMMYFUNCTION("""COMPUTED_VALUE"""),5.0)</f>
        <v>5</v>
      </c>
      <c r="J19" s="27">
        <f>IFERROR(__xludf.DUMMYFUNCTION("""COMPUTED_VALUE"""),5.0)</f>
        <v>5</v>
      </c>
      <c r="K19" s="27">
        <f>IFERROR(__xludf.DUMMYFUNCTION("""COMPUTED_VALUE"""),4.0)</f>
        <v>4</v>
      </c>
      <c r="L19" s="27">
        <f>IFERROR(__xludf.DUMMYFUNCTION("""COMPUTED_VALUE"""),6.0)</f>
        <v>6</v>
      </c>
      <c r="M19" s="27">
        <f>IFERROR(__xludf.DUMMYFUNCTION("""COMPUTED_VALUE"""),3.0)</f>
        <v>3</v>
      </c>
      <c r="N19" s="27">
        <f>IFERROR(__xludf.DUMMYFUNCTION("""COMPUTED_VALUE"""),5.0)</f>
        <v>5</v>
      </c>
      <c r="O19" s="27">
        <f>IFERROR(__xludf.DUMMYFUNCTION("""COMPUTED_VALUE"""),3.0)</f>
        <v>3</v>
      </c>
      <c r="P19" s="27">
        <f>IFERROR(__xludf.DUMMYFUNCTION("""COMPUTED_VALUE"""),3.0)</f>
        <v>3</v>
      </c>
      <c r="Q19" s="27">
        <f>IFERROR(__xludf.DUMMYFUNCTION("""COMPUTED_VALUE"""),6.0)</f>
        <v>6</v>
      </c>
      <c r="R19" s="27">
        <f>IFERROR(__xludf.DUMMYFUNCTION("""COMPUTED_VALUE"""),6.0)</f>
        <v>6</v>
      </c>
      <c r="S19" s="27">
        <f>IFERROR(__xludf.DUMMYFUNCTION("""COMPUTED_VALUE"""),5.0)</f>
        <v>5</v>
      </c>
      <c r="T19" s="27">
        <f>IFERROR(__xludf.DUMMYFUNCTION("""COMPUTED_VALUE"""),5.0)</f>
        <v>5</v>
      </c>
      <c r="U19" s="32">
        <f t="shared" si="5"/>
        <v>90</v>
      </c>
      <c r="V19" s="33">
        <f t="shared" si="6"/>
        <v>1000</v>
      </c>
      <c r="W19" s="32">
        <f t="shared" si="7"/>
        <v>3</v>
      </c>
      <c r="X19" s="32">
        <f t="shared" si="8"/>
        <v>7</v>
      </c>
      <c r="Y19" s="34"/>
      <c r="Z19" s="35"/>
      <c r="AA19" s="36"/>
      <c r="AB19" s="36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</row>
    <row r="20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>
        <f t="shared" si="5"/>
        <v>0</v>
      </c>
      <c r="V20">
        <f t="shared" si="6"/>
        <v>19</v>
      </c>
      <c r="W20">
        <f t="shared" si="7"/>
        <v>0</v>
      </c>
      <c r="X20">
        <f t="shared" si="8"/>
        <v>0</v>
      </c>
      <c r="AA20" s="40"/>
      <c r="AB20" s="29"/>
    </row>
    <row r="21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>
        <f t="shared" si="5"/>
        <v>0</v>
      </c>
      <c r="V21">
        <f t="shared" si="6"/>
        <v>20</v>
      </c>
      <c r="W21">
        <f t="shared" si="7"/>
        <v>0</v>
      </c>
      <c r="X21">
        <f t="shared" si="8"/>
        <v>0</v>
      </c>
      <c r="AA21" s="40"/>
      <c r="AB21" s="29"/>
    </row>
    <row r="22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>
        <f t="shared" si="5"/>
        <v>0</v>
      </c>
      <c r="V22">
        <f t="shared" si="6"/>
        <v>21</v>
      </c>
      <c r="W22">
        <f t="shared" si="7"/>
        <v>0</v>
      </c>
      <c r="X22">
        <f t="shared" si="8"/>
        <v>0</v>
      </c>
      <c r="AA22" s="40"/>
      <c r="AB22" s="29"/>
    </row>
    <row r="23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>
        <f t="shared" si="5"/>
        <v>0</v>
      </c>
      <c r="V23">
        <f t="shared" si="6"/>
        <v>22</v>
      </c>
      <c r="W23">
        <f t="shared" si="7"/>
        <v>0</v>
      </c>
      <c r="X23">
        <f t="shared" si="8"/>
        <v>0</v>
      </c>
      <c r="AA23" s="40"/>
      <c r="AB23" s="29"/>
    </row>
    <row r="24"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>
        <f t="shared" si="5"/>
        <v>0</v>
      </c>
      <c r="V24">
        <f t="shared" si="6"/>
        <v>23</v>
      </c>
      <c r="W24">
        <f t="shared" si="7"/>
        <v>0</v>
      </c>
      <c r="X24">
        <f t="shared" si="8"/>
        <v>0</v>
      </c>
      <c r="AA24" s="40"/>
      <c r="AB24" s="29"/>
    </row>
    <row r="25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>
        <f t="shared" si="5"/>
        <v>0</v>
      </c>
      <c r="V25">
        <f t="shared" si="6"/>
        <v>24</v>
      </c>
      <c r="W25">
        <f t="shared" si="7"/>
        <v>0</v>
      </c>
      <c r="X25">
        <f t="shared" si="8"/>
        <v>0</v>
      </c>
      <c r="AA25" s="40"/>
      <c r="AB25" s="29"/>
    </row>
    <row r="26"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>
        <f t="shared" si="5"/>
        <v>0</v>
      </c>
      <c r="V26">
        <f t="shared" si="6"/>
        <v>25</v>
      </c>
      <c r="W26">
        <f t="shared" si="7"/>
        <v>0</v>
      </c>
      <c r="X26">
        <f t="shared" si="8"/>
        <v>0</v>
      </c>
      <c r="AA26" s="40"/>
      <c r="AB26" s="29"/>
    </row>
    <row r="27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>
        <f t="shared" si="5"/>
        <v>0</v>
      </c>
      <c r="V27">
        <f t="shared" si="6"/>
        <v>26</v>
      </c>
      <c r="W27">
        <f t="shared" si="7"/>
        <v>0</v>
      </c>
      <c r="X27">
        <f t="shared" si="8"/>
        <v>0</v>
      </c>
      <c r="AA27" s="40"/>
      <c r="AB27" s="29"/>
    </row>
    <row r="28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>
        <f t="shared" si="5"/>
        <v>0</v>
      </c>
      <c r="V28">
        <f t="shared" si="6"/>
        <v>27</v>
      </c>
      <c r="W28">
        <f t="shared" si="7"/>
        <v>0</v>
      </c>
      <c r="X28">
        <f t="shared" si="8"/>
        <v>0</v>
      </c>
      <c r="AA28" s="40"/>
      <c r="AB28" s="29"/>
    </row>
    <row r="29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>
        <f t="shared" si="5"/>
        <v>0</v>
      </c>
      <c r="V29">
        <f t="shared" si="6"/>
        <v>28</v>
      </c>
      <c r="W29">
        <f t="shared" si="7"/>
        <v>0</v>
      </c>
      <c r="X29">
        <f t="shared" si="8"/>
        <v>0</v>
      </c>
      <c r="AA29" s="40"/>
      <c r="AB29" s="29"/>
    </row>
    <row r="30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>
        <f t="shared" si="5"/>
        <v>0</v>
      </c>
      <c r="V30">
        <f t="shared" si="6"/>
        <v>29</v>
      </c>
      <c r="W30">
        <f t="shared" si="7"/>
        <v>0</v>
      </c>
      <c r="X30">
        <f t="shared" si="8"/>
        <v>0</v>
      </c>
      <c r="AA30" s="40"/>
      <c r="AB30" s="29"/>
    </row>
    <row r="31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>
        <f t="shared" si="5"/>
        <v>0</v>
      </c>
      <c r="V31">
        <f t="shared" si="6"/>
        <v>30</v>
      </c>
      <c r="W31">
        <f t="shared" si="7"/>
        <v>0</v>
      </c>
      <c r="X31">
        <f t="shared" si="8"/>
        <v>0</v>
      </c>
      <c r="AA31" s="40"/>
      <c r="AB31" s="29"/>
    </row>
    <row r="32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>
        <f t="shared" si="5"/>
        <v>0</v>
      </c>
      <c r="V32">
        <f t="shared" si="6"/>
        <v>31</v>
      </c>
      <c r="W32">
        <f t="shared" si="7"/>
        <v>0</v>
      </c>
      <c r="X32">
        <f t="shared" si="8"/>
        <v>0</v>
      </c>
      <c r="AA32" s="40"/>
      <c r="AB32" s="29"/>
    </row>
    <row r="33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>
        <f t="shared" si="5"/>
        <v>0</v>
      </c>
      <c r="V33">
        <f t="shared" si="6"/>
        <v>32</v>
      </c>
      <c r="W33">
        <f t="shared" si="7"/>
        <v>0</v>
      </c>
      <c r="X33">
        <f t="shared" si="8"/>
        <v>0</v>
      </c>
      <c r="AA33" s="40"/>
      <c r="AB33" s="29"/>
    </row>
    <row r="34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>
        <f t="shared" si="5"/>
        <v>0</v>
      </c>
      <c r="V34">
        <f t="shared" si="6"/>
        <v>33</v>
      </c>
      <c r="W34">
        <f t="shared" si="7"/>
        <v>0</v>
      </c>
      <c r="X34">
        <f t="shared" si="8"/>
        <v>0</v>
      </c>
      <c r="AA34" s="40"/>
      <c r="AB34" s="29"/>
    </row>
    <row r="3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>
        <f t="shared" si="5"/>
        <v>0</v>
      </c>
      <c r="V35">
        <f t="shared" si="6"/>
        <v>34</v>
      </c>
      <c r="W35">
        <f t="shared" si="7"/>
        <v>0</v>
      </c>
      <c r="X35">
        <f t="shared" si="8"/>
        <v>0</v>
      </c>
      <c r="AA35" s="40"/>
      <c r="AB35" s="29"/>
    </row>
    <row r="36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>
        <f t="shared" si="5"/>
        <v>0</v>
      </c>
      <c r="V36">
        <f t="shared" si="6"/>
        <v>35</v>
      </c>
      <c r="W36">
        <f t="shared" si="7"/>
        <v>0</v>
      </c>
      <c r="X36" s="20">
        <f t="shared" si="8"/>
        <v>0</v>
      </c>
      <c r="AA36" s="40"/>
      <c r="AB36" s="29"/>
    </row>
    <row r="37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>
        <f t="shared" si="5"/>
        <v>0</v>
      </c>
      <c r="V37">
        <f t="shared" si="6"/>
        <v>36</v>
      </c>
      <c r="W37">
        <f t="shared" si="7"/>
        <v>0</v>
      </c>
      <c r="X37" s="20">
        <f t="shared" si="8"/>
        <v>0</v>
      </c>
      <c r="AA37" s="40"/>
    </row>
    <row r="38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>
        <f t="shared" si="5"/>
        <v>0</v>
      </c>
      <c r="V38">
        <f t="shared" si="6"/>
        <v>37</v>
      </c>
      <c r="W38">
        <f t="shared" si="7"/>
        <v>0</v>
      </c>
      <c r="X38" s="20">
        <f t="shared" si="8"/>
        <v>0</v>
      </c>
      <c r="AA38" s="40"/>
    </row>
    <row r="39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>
        <f t="shared" si="5"/>
        <v>0</v>
      </c>
      <c r="V39">
        <f t="shared" si="6"/>
        <v>38</v>
      </c>
      <c r="W39">
        <f t="shared" si="7"/>
        <v>0</v>
      </c>
      <c r="X39" s="20">
        <f t="shared" si="8"/>
        <v>0</v>
      </c>
      <c r="AA39" s="40"/>
    </row>
    <row r="40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>
        <f t="shared" si="5"/>
        <v>0</v>
      </c>
      <c r="V40">
        <f t="shared" si="6"/>
        <v>39</v>
      </c>
      <c r="W40">
        <f t="shared" si="7"/>
        <v>0</v>
      </c>
      <c r="X40" s="20">
        <f t="shared" si="8"/>
        <v>0</v>
      </c>
      <c r="AA40" s="40"/>
    </row>
    <row r="41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>
        <f t="shared" si="5"/>
        <v>0</v>
      </c>
      <c r="V41">
        <f t="shared" si="6"/>
        <v>40</v>
      </c>
      <c r="W41">
        <f t="shared" si="7"/>
        <v>0</v>
      </c>
      <c r="X41" s="20">
        <f t="shared" si="8"/>
        <v>0</v>
      </c>
      <c r="AA41" s="40"/>
    </row>
    <row r="42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>
        <f t="shared" si="5"/>
        <v>0</v>
      </c>
      <c r="V42">
        <f t="shared" si="6"/>
        <v>41</v>
      </c>
      <c r="W42">
        <f t="shared" si="7"/>
        <v>0</v>
      </c>
      <c r="X42" s="20">
        <f t="shared" si="8"/>
        <v>0</v>
      </c>
      <c r="AA42" s="40"/>
    </row>
    <row r="43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>
        <f t="shared" si="5"/>
        <v>0</v>
      </c>
      <c r="V43">
        <f t="shared" si="6"/>
        <v>42</v>
      </c>
      <c r="W43">
        <f t="shared" si="7"/>
        <v>0</v>
      </c>
      <c r="X43" s="20">
        <f t="shared" si="8"/>
        <v>0</v>
      </c>
      <c r="AA43" s="40"/>
    </row>
    <row r="44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>
        <f t="shared" si="5"/>
        <v>0</v>
      </c>
      <c r="V44">
        <f t="shared" si="6"/>
        <v>43</v>
      </c>
      <c r="W44">
        <f t="shared" si="7"/>
        <v>0</v>
      </c>
      <c r="X44" s="20">
        <f t="shared" si="8"/>
        <v>0</v>
      </c>
      <c r="AA44" s="40"/>
    </row>
    <row r="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>
        <f t="shared" si="5"/>
        <v>0</v>
      </c>
      <c r="V45">
        <f t="shared" si="6"/>
        <v>44</v>
      </c>
      <c r="W45">
        <f t="shared" si="7"/>
        <v>0</v>
      </c>
      <c r="X45" s="20">
        <f t="shared" si="8"/>
        <v>0</v>
      </c>
      <c r="AA45" s="40"/>
    </row>
    <row r="46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>
        <f t="shared" si="5"/>
        <v>0</v>
      </c>
      <c r="V46">
        <f t="shared" si="6"/>
        <v>45</v>
      </c>
      <c r="W46">
        <f t="shared" si="7"/>
        <v>0</v>
      </c>
      <c r="X46" s="20">
        <f t="shared" si="8"/>
        <v>0</v>
      </c>
      <c r="AA46" s="40"/>
    </row>
    <row r="47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>
        <f t="shared" si="5"/>
        <v>0</v>
      </c>
      <c r="V47">
        <f t="shared" si="6"/>
        <v>46</v>
      </c>
      <c r="W47">
        <f t="shared" si="7"/>
        <v>0</v>
      </c>
      <c r="X47" s="20">
        <f t="shared" si="8"/>
        <v>0</v>
      </c>
      <c r="AA47" s="40"/>
    </row>
    <row r="48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>
        <f t="shared" si="5"/>
        <v>0</v>
      </c>
      <c r="V48">
        <f t="shared" si="6"/>
        <v>47</v>
      </c>
      <c r="W48">
        <f t="shared" si="7"/>
        <v>0</v>
      </c>
      <c r="X48" s="20">
        <f t="shared" si="8"/>
        <v>0</v>
      </c>
      <c r="AA48" s="40"/>
    </row>
    <row r="49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>
        <f t="shared" si="5"/>
        <v>0</v>
      </c>
      <c r="V49">
        <f t="shared" si="6"/>
        <v>48</v>
      </c>
      <c r="W49">
        <f t="shared" si="7"/>
        <v>0</v>
      </c>
      <c r="X49" s="20">
        <f t="shared" si="8"/>
        <v>0</v>
      </c>
      <c r="AA49" s="40"/>
    </row>
    <row r="50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>
        <f t="shared" si="5"/>
        <v>0</v>
      </c>
      <c r="V50">
        <f t="shared" si="6"/>
        <v>49</v>
      </c>
      <c r="W50">
        <f t="shared" si="7"/>
        <v>0</v>
      </c>
      <c r="X50" s="20">
        <f t="shared" si="8"/>
        <v>0</v>
      </c>
      <c r="AA50" s="40"/>
    </row>
    <row r="51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>
        <f t="shared" si="5"/>
        <v>0</v>
      </c>
      <c r="V51">
        <f t="shared" si="6"/>
        <v>50</v>
      </c>
      <c r="W51">
        <f t="shared" si="7"/>
        <v>0</v>
      </c>
      <c r="X51" s="20">
        <f t="shared" si="8"/>
        <v>0</v>
      </c>
      <c r="AA51" s="40"/>
    </row>
    <row r="52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>
        <f t="shared" si="5"/>
        <v>0</v>
      </c>
      <c r="V52">
        <f t="shared" si="6"/>
        <v>51</v>
      </c>
      <c r="W52">
        <f t="shared" si="7"/>
        <v>0</v>
      </c>
      <c r="X52" s="20">
        <f t="shared" si="8"/>
        <v>0</v>
      </c>
      <c r="AA52" s="40"/>
    </row>
    <row r="53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>
        <f t="shared" si="5"/>
        <v>0</v>
      </c>
      <c r="V53">
        <f t="shared" si="6"/>
        <v>52</v>
      </c>
      <c r="W53">
        <f t="shared" si="7"/>
        <v>0</v>
      </c>
      <c r="X53" s="20">
        <f t="shared" si="8"/>
        <v>0</v>
      </c>
      <c r="AA53" s="40"/>
    </row>
    <row r="54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>
        <f t="shared" si="5"/>
        <v>0</v>
      </c>
      <c r="V54">
        <f t="shared" si="6"/>
        <v>53</v>
      </c>
      <c r="W54">
        <f t="shared" si="7"/>
        <v>0</v>
      </c>
      <c r="X54" s="20">
        <f t="shared" si="8"/>
        <v>0</v>
      </c>
      <c r="AA54" s="40"/>
    </row>
    <row r="55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>
        <f t="shared" si="5"/>
        <v>0</v>
      </c>
      <c r="V55">
        <f t="shared" si="6"/>
        <v>54</v>
      </c>
      <c r="W55">
        <f t="shared" si="7"/>
        <v>0</v>
      </c>
      <c r="X55" s="20">
        <f t="shared" si="8"/>
        <v>0</v>
      </c>
      <c r="AA55" s="40"/>
    </row>
    <row r="56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>
        <f t="shared" si="5"/>
        <v>0</v>
      </c>
      <c r="V56">
        <f t="shared" si="6"/>
        <v>55</v>
      </c>
      <c r="W56">
        <f t="shared" si="7"/>
        <v>0</v>
      </c>
      <c r="X56" s="20">
        <f t="shared" si="8"/>
        <v>0</v>
      </c>
      <c r="AA56" s="40"/>
    </row>
    <row r="57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>
        <f t="shared" si="5"/>
        <v>0</v>
      </c>
      <c r="V57">
        <f t="shared" si="6"/>
        <v>56</v>
      </c>
      <c r="W57">
        <f t="shared" si="7"/>
        <v>0</v>
      </c>
      <c r="X57" s="20">
        <f t="shared" si="8"/>
        <v>0</v>
      </c>
      <c r="AA57" s="40"/>
    </row>
    <row r="58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>
        <f t="shared" si="5"/>
        <v>0</v>
      </c>
      <c r="V58">
        <f t="shared" si="6"/>
        <v>57</v>
      </c>
      <c r="W58">
        <f t="shared" si="7"/>
        <v>0</v>
      </c>
      <c r="X58" s="20">
        <f t="shared" si="8"/>
        <v>0</v>
      </c>
      <c r="AA58" s="40"/>
    </row>
    <row r="59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>
        <f t="shared" si="5"/>
        <v>0</v>
      </c>
      <c r="V59">
        <f t="shared" si="6"/>
        <v>58</v>
      </c>
      <c r="W59">
        <f t="shared" si="7"/>
        <v>0</v>
      </c>
      <c r="X59" s="20">
        <f t="shared" si="8"/>
        <v>0</v>
      </c>
      <c r="AA59" s="40"/>
    </row>
    <row r="60"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>
        <f t="shared" si="5"/>
        <v>0</v>
      </c>
      <c r="V60">
        <f t="shared" si="6"/>
        <v>59</v>
      </c>
      <c r="W60">
        <f t="shared" si="7"/>
        <v>0</v>
      </c>
      <c r="X60" s="20">
        <f t="shared" si="8"/>
        <v>0</v>
      </c>
      <c r="AA60" s="40"/>
    </row>
  </sheetData>
  <mergeCells count="2">
    <mergeCell ref="AA1:AA4"/>
    <mergeCell ref="AB1:AB4"/>
  </mergeCells>
  <conditionalFormatting sqref="B3:T3">
    <cfRule type="cellIs" dxfId="0" priority="1" operator="lessThan">
      <formula>0</formula>
    </cfRule>
  </conditionalFormatting>
  <conditionalFormatting sqref="AC2:AC3 B6:T60 Y6:Z60">
    <cfRule type="cellIs" dxfId="1" priority="2" operator="equal">
      <formula>0</formula>
    </cfRule>
  </conditionalFormatting>
  <conditionalFormatting sqref="B3:T3">
    <cfRule type="cellIs" dxfId="2" priority="3" operator="equal">
      <formula>0</formula>
    </cfRule>
  </conditionalFormatting>
  <conditionalFormatting sqref="AC2:AC3 B6:T60 Y6:Z60">
    <cfRule type="cellIs" dxfId="3" priority="4" operator="between">
      <formula>1</formula>
      <formula>3</formula>
    </cfRule>
  </conditionalFormatting>
  <conditionalFormatting sqref="AC2:AC3 B6:T60 Y6:Z60">
    <cfRule type="cellIs" dxfId="4" priority="5" operator="greaterThan">
      <formula>9</formula>
    </cfRule>
  </conditionalFormatting>
  <conditionalFormatting sqref="B3:T3">
    <cfRule type="cellIs" dxfId="5" priority="6" operator="greaterThan">
      <formula>0</formula>
    </cfRule>
  </conditionalFormatting>
  <conditionalFormatting sqref="U6:Y14 X36:X60">
    <cfRule type="cellIs" dxfId="6" priority="7" operator="equal">
      <formula>AA6</formula>
    </cfRule>
  </conditionalFormatting>
  <conditionalFormatting sqref="AC2:AC3 B6:T60 Y6:Z60">
    <cfRule type="expression" dxfId="6" priority="8">
      <formula>AND(MAX($B2:$T2)=AC2,$A2&lt;&gt;"")</formula>
    </cfRule>
  </conditionalFormatting>
  <conditionalFormatting sqref="AC2:AC3 B6:T60">
    <cfRule type="expression" dxfId="7" priority="9">
      <formula>AND(MIN($B2:$T2)=AC2,$A2&lt;&gt;"")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2.75"/>
  <cols>
    <col customWidth="1" min="1" max="1" width="10.5"/>
    <col customWidth="1" hidden="1" min="2" max="2" width="18.25"/>
    <col customWidth="1" hidden="1" min="3" max="4" width="14.38"/>
    <col customWidth="1" hidden="1" min="5" max="5" width="19.63"/>
    <col customWidth="1" min="6" max="6" width="17.38"/>
    <col customWidth="1" min="7" max="7" width="12.25"/>
    <col customWidth="1" min="8" max="9" width="20.13"/>
    <col customWidth="1" min="10" max="10" width="98.38"/>
  </cols>
  <sheetData>
    <row r="1">
      <c r="A1" s="41" t="s">
        <v>45</v>
      </c>
      <c r="B1" s="42"/>
      <c r="C1" s="42"/>
      <c r="D1" s="42"/>
      <c r="E1" s="41"/>
      <c r="F1" s="41" t="s">
        <v>46</v>
      </c>
      <c r="G1" s="41" t="s">
        <v>47</v>
      </c>
      <c r="H1" s="43" t="s">
        <v>48</v>
      </c>
      <c r="I1" s="41" t="s">
        <v>49</v>
      </c>
    </row>
    <row r="2">
      <c r="A2" s="44">
        <v>1.0</v>
      </c>
      <c r="B2" s="45" t="str">
        <f t="array" ref="B2:B19">TRANSPOSE(ACIERTOS!B1:S1)</f>
        <v>Alvaro</v>
      </c>
      <c r="C2" s="45">
        <f t="array" ref="C2:C20">TRANSPOSE(ACIERTOS!B4:T4)</f>
        <v>92</v>
      </c>
      <c r="D2" s="45">
        <f t="array" ref="D2">INDIRECT("ACIERTOS!B"&amp;ACIERTOS!$V$4)</f>
        <v>5</v>
      </c>
      <c r="E2" s="45">
        <f>ACIERTOS!B3</f>
        <v>3</v>
      </c>
      <c r="F2" s="45" t="str">
        <f t="array" ref="F2:I21">SORT(B2:E21,2,false)</f>
        <v>Carlos</v>
      </c>
      <c r="G2" s="45">
        <v>108.0</v>
      </c>
      <c r="H2" s="45">
        <v>6.0</v>
      </c>
      <c r="I2" s="45">
        <v>6.0</v>
      </c>
    </row>
    <row r="3">
      <c r="A3" s="44">
        <v>2.0</v>
      </c>
      <c r="B3" s="45" t="s">
        <v>1</v>
      </c>
      <c r="C3" s="45">
        <v>108.0</v>
      </c>
      <c r="D3" s="45">
        <f t="array" ref="D3">INDIRECT("ACIERTOS!C"&amp;ACIERTOS!$V$4)</f>
        <v>6</v>
      </c>
      <c r="E3" s="45">
        <f>ACIERTOS!C3</f>
        <v>6</v>
      </c>
      <c r="F3" s="45" t="s">
        <v>8</v>
      </c>
      <c r="G3" s="45">
        <v>100.0</v>
      </c>
      <c r="H3" s="45">
        <v>5.0</v>
      </c>
      <c r="I3" s="45">
        <v>8.0</v>
      </c>
    </row>
    <row r="4">
      <c r="A4" s="44">
        <v>3.0</v>
      </c>
      <c r="B4" s="45" t="s">
        <v>2</v>
      </c>
      <c r="C4" s="45">
        <v>93.0</v>
      </c>
      <c r="D4" s="45">
        <f t="array" ref="D4">INDIRECT("ACIERTOS!D"&amp;ACIERTOS!$V$4)</f>
        <v>4</v>
      </c>
      <c r="E4" s="45">
        <f>ACIERTOS!D3</f>
        <v>0</v>
      </c>
      <c r="F4" s="45" t="s">
        <v>3</v>
      </c>
      <c r="G4" s="45">
        <v>96.0</v>
      </c>
      <c r="H4" s="45">
        <v>7.0</v>
      </c>
      <c r="I4" s="45">
        <v>3.0</v>
      </c>
    </row>
    <row r="5">
      <c r="A5" s="44">
        <v>4.0</v>
      </c>
      <c r="B5" s="45" t="s">
        <v>3</v>
      </c>
      <c r="C5" s="45">
        <v>96.0</v>
      </c>
      <c r="D5" s="46">
        <f t="array" ref="D5">INDIRECT("ACIERTOS!E"&amp;ACIERTOS!$V$4)</f>
        <v>7</v>
      </c>
      <c r="E5" s="46">
        <f>ACIERTOS!E3</f>
        <v>3</v>
      </c>
      <c r="F5" s="45" t="s">
        <v>2</v>
      </c>
      <c r="G5" s="45">
        <v>93.0</v>
      </c>
      <c r="H5" s="45">
        <v>4.0</v>
      </c>
      <c r="I5" s="45">
        <v>0.0</v>
      </c>
    </row>
    <row r="6">
      <c r="A6" s="44">
        <v>5.0</v>
      </c>
      <c r="B6" s="45" t="s">
        <v>4</v>
      </c>
      <c r="C6" s="45">
        <v>91.0</v>
      </c>
      <c r="D6" s="46">
        <f t="array" ref="D6">INDIRECT("ACIERTOS!F"&amp;ACIERTOS!$V$4)</f>
        <v>3</v>
      </c>
      <c r="E6" s="46">
        <f>ACIERTOS!F3</f>
        <v>2</v>
      </c>
      <c r="F6" s="45" t="s">
        <v>18</v>
      </c>
      <c r="G6" s="45">
        <v>93.0</v>
      </c>
      <c r="H6" s="45">
        <v>5.0</v>
      </c>
      <c r="I6" s="45">
        <v>1.0</v>
      </c>
    </row>
    <row r="7">
      <c r="A7" s="44">
        <v>6.0</v>
      </c>
      <c r="B7" s="45" t="s">
        <v>5</v>
      </c>
      <c r="C7" s="45">
        <v>85.0</v>
      </c>
      <c r="D7" s="46">
        <f t="array" ref="D7">INDIRECT("ACIERTOS!G"&amp;ACIERTOS!$V$4)</f>
        <v>6</v>
      </c>
      <c r="E7" s="46">
        <f>ACIERTOS!G3</f>
        <v>-1</v>
      </c>
      <c r="F7" s="45" t="s">
        <v>0</v>
      </c>
      <c r="G7" s="45">
        <v>92.0</v>
      </c>
      <c r="H7" s="45">
        <v>5.0</v>
      </c>
      <c r="I7" s="45">
        <v>3.0</v>
      </c>
    </row>
    <row r="8">
      <c r="A8" s="44">
        <v>7.0</v>
      </c>
      <c r="B8" s="45" t="s">
        <v>6</v>
      </c>
      <c r="C8" s="45">
        <v>84.0</v>
      </c>
      <c r="D8" s="46">
        <f t="array" ref="D8">INDIRECT("ACIERTOS!H"&amp;ACIERTOS!$V$4)</f>
        <v>3</v>
      </c>
      <c r="E8" s="46">
        <f>ACIERTOS!H3</f>
        <v>-1</v>
      </c>
      <c r="F8" s="45" t="s">
        <v>4</v>
      </c>
      <c r="G8" s="45">
        <v>91.0</v>
      </c>
      <c r="H8" s="45">
        <v>3.0</v>
      </c>
      <c r="I8" s="45">
        <v>2.0</v>
      </c>
    </row>
    <row r="9">
      <c r="A9" s="44">
        <v>8.0</v>
      </c>
      <c r="B9" s="45" t="s">
        <v>7</v>
      </c>
      <c r="C9" s="45">
        <v>85.0</v>
      </c>
      <c r="D9" s="46">
        <f t="array" ref="D9">INDIRECT("ACIERTOS!I"&amp;ACIERTOS!$V$4)</f>
        <v>5</v>
      </c>
      <c r="E9" s="46">
        <f>ACIERTOS!I3</f>
        <v>2</v>
      </c>
      <c r="F9" s="45" t="s">
        <v>11</v>
      </c>
      <c r="G9" s="45">
        <v>87.0</v>
      </c>
      <c r="H9" s="45">
        <v>3.0</v>
      </c>
      <c r="I9" s="45">
        <v>-1.0</v>
      </c>
    </row>
    <row r="10">
      <c r="A10" s="44">
        <v>9.0</v>
      </c>
      <c r="B10" s="45" t="s">
        <v>8</v>
      </c>
      <c r="C10" s="45">
        <v>100.0</v>
      </c>
      <c r="D10" s="46">
        <f t="array" ref="D10">INDIRECT("ACIERTOS!J"&amp;ACIERTOS!$V$4)</f>
        <v>5</v>
      </c>
      <c r="E10" s="46">
        <f>ACIERTOS!J3</f>
        <v>8</v>
      </c>
      <c r="F10" s="45" t="s">
        <v>10</v>
      </c>
      <c r="G10" s="45">
        <v>86.0</v>
      </c>
      <c r="H10" s="45">
        <v>6.0</v>
      </c>
      <c r="I10" s="45">
        <v>-1.0</v>
      </c>
    </row>
    <row r="11">
      <c r="A11" s="44">
        <v>10.0</v>
      </c>
      <c r="B11" s="45" t="s">
        <v>9</v>
      </c>
      <c r="C11" s="45">
        <v>82.0</v>
      </c>
      <c r="D11" s="46">
        <f t="array" ref="D11">INDIRECT("ACIERTOS!K"&amp;ACIERTOS!$V$4)</f>
        <v>4</v>
      </c>
      <c r="E11" s="46">
        <f>ACIERTOS!K3</f>
        <v>2</v>
      </c>
      <c r="F11" s="45" t="s">
        <v>5</v>
      </c>
      <c r="G11" s="45">
        <v>85.0</v>
      </c>
      <c r="H11" s="45">
        <v>6.0</v>
      </c>
      <c r="I11" s="45">
        <v>-1.0</v>
      </c>
    </row>
    <row r="12">
      <c r="A12" s="44">
        <v>11.0</v>
      </c>
      <c r="B12" s="45" t="s">
        <v>10</v>
      </c>
      <c r="C12" s="45">
        <v>86.0</v>
      </c>
      <c r="D12" s="46">
        <f t="array" ref="D12">INDIRECT("ACIERTOS!L"&amp;ACIERTOS!$V$4)</f>
        <v>6</v>
      </c>
      <c r="E12" s="46">
        <f>ACIERTOS!L3</f>
        <v>-1</v>
      </c>
      <c r="F12" s="45" t="s">
        <v>7</v>
      </c>
      <c r="G12" s="45">
        <v>85.0</v>
      </c>
      <c r="H12" s="45">
        <v>5.0</v>
      </c>
      <c r="I12" s="45">
        <v>2.0</v>
      </c>
    </row>
    <row r="13">
      <c r="A13" s="44">
        <v>12.0</v>
      </c>
      <c r="B13" s="45" t="s">
        <v>11</v>
      </c>
      <c r="C13" s="45">
        <v>87.0</v>
      </c>
      <c r="D13" s="46">
        <f t="array" ref="D13">INDIRECT("ACIERTOS!M"&amp;ACIERTOS!$V$4)</f>
        <v>3</v>
      </c>
      <c r="E13" s="46">
        <f>ACIERTOS!M3</f>
        <v>-1</v>
      </c>
      <c r="F13" s="45" t="s">
        <v>16</v>
      </c>
      <c r="G13" s="45">
        <v>85.0</v>
      </c>
      <c r="H13" s="45">
        <v>6.0</v>
      </c>
      <c r="I13" s="45">
        <v>0.0</v>
      </c>
    </row>
    <row r="14">
      <c r="A14" s="44">
        <v>13.0</v>
      </c>
      <c r="B14" s="45" t="s">
        <v>12</v>
      </c>
      <c r="C14" s="45">
        <v>80.0</v>
      </c>
      <c r="D14" s="46">
        <f t="array" ref="D14">INDIRECT("ACIERTOS!N"&amp;ACIERTOS!$V$4)</f>
        <v>5</v>
      </c>
      <c r="E14" s="46">
        <f>ACIERTOS!N3</f>
        <v>0</v>
      </c>
      <c r="F14" s="45" t="s">
        <v>6</v>
      </c>
      <c r="G14" s="45">
        <v>84.0</v>
      </c>
      <c r="H14" s="45">
        <v>3.0</v>
      </c>
      <c r="I14" s="45">
        <v>-1.0</v>
      </c>
    </row>
    <row r="15">
      <c r="A15" s="44">
        <v>14.0</v>
      </c>
      <c r="B15" s="45" t="s">
        <v>13</v>
      </c>
      <c r="C15" s="45">
        <v>55.0</v>
      </c>
      <c r="D15" s="46">
        <f t="array" ref="D15">INDIRECT("ACIERTOS!O"&amp;ACIERTOS!$V$4)</f>
        <v>3</v>
      </c>
      <c r="E15" s="46">
        <f>ACIERTOS!O3</f>
        <v>-23</v>
      </c>
      <c r="F15" s="45" t="s">
        <v>17</v>
      </c>
      <c r="G15" s="45">
        <v>83.0</v>
      </c>
      <c r="H15" s="45">
        <v>5.0</v>
      </c>
      <c r="I15" s="45">
        <v>-1.0</v>
      </c>
    </row>
    <row r="16">
      <c r="A16" s="44">
        <v>15.0</v>
      </c>
      <c r="B16" s="45" t="s">
        <v>14</v>
      </c>
      <c r="C16" s="45">
        <v>75.0</v>
      </c>
      <c r="D16" s="46">
        <f t="array" ref="D16">INDIRECT("ACIERTOS!P"&amp;ACIERTOS!$V$4)</f>
        <v>3</v>
      </c>
      <c r="E16" s="46">
        <f>ACIERTOS!P3</f>
        <v>-2</v>
      </c>
      <c r="F16" s="45" t="s">
        <v>9</v>
      </c>
      <c r="G16" s="45">
        <v>82.0</v>
      </c>
      <c r="H16" s="45">
        <v>4.0</v>
      </c>
      <c r="I16" s="45">
        <v>2.0</v>
      </c>
    </row>
    <row r="17">
      <c r="A17" s="44">
        <v>16.0</v>
      </c>
      <c r="B17" s="45" t="s">
        <v>15</v>
      </c>
      <c r="C17" s="45">
        <v>70.0</v>
      </c>
      <c r="D17" s="46">
        <f t="array" ref="D17">INDIRECT("ACIERTOS!Q"&amp;ACIERTOS!$V$4)</f>
        <v>6</v>
      </c>
      <c r="E17" s="46">
        <f>ACIERTOS!Q3</f>
        <v>-15</v>
      </c>
      <c r="F17" s="45" t="s">
        <v>12</v>
      </c>
      <c r="G17" s="45">
        <v>80.0</v>
      </c>
      <c r="H17" s="45">
        <v>5.0</v>
      </c>
      <c r="I17" s="45">
        <v>0.0</v>
      </c>
    </row>
    <row r="18">
      <c r="A18" s="44">
        <v>17.0</v>
      </c>
      <c r="B18" s="45" t="s">
        <v>16</v>
      </c>
      <c r="C18" s="45">
        <v>85.0</v>
      </c>
      <c r="D18" s="46">
        <f t="array" ref="D18">INDIRECT("ACIERTOS!R"&amp;ACIERTOS!$V$4)</f>
        <v>6</v>
      </c>
      <c r="E18" s="46">
        <f>ACIERTOS!R3</f>
        <v>0</v>
      </c>
      <c r="F18" s="45" t="s">
        <v>14</v>
      </c>
      <c r="G18" s="45">
        <v>75.0</v>
      </c>
      <c r="H18" s="45">
        <v>3.0</v>
      </c>
      <c r="I18" s="45">
        <v>-2.0</v>
      </c>
    </row>
    <row r="19">
      <c r="A19" s="44">
        <v>18.0</v>
      </c>
      <c r="B19" s="45" t="s">
        <v>17</v>
      </c>
      <c r="C19" s="45">
        <v>83.0</v>
      </c>
      <c r="D19" s="46">
        <f t="array" ref="D19">INDIRECT("ACIERTOS!S"&amp;ACIERTOS!$V$4)</f>
        <v>5</v>
      </c>
      <c r="E19" s="46">
        <f>ACIERTOS!S3</f>
        <v>-1</v>
      </c>
      <c r="F19" s="45" t="s">
        <v>15</v>
      </c>
      <c r="G19" s="45">
        <v>70.0</v>
      </c>
      <c r="H19" s="45">
        <v>6.0</v>
      </c>
      <c r="I19" s="45">
        <v>-15.0</v>
      </c>
    </row>
    <row r="20">
      <c r="A20" s="47">
        <v>19.0</v>
      </c>
      <c r="B20" s="48" t="s">
        <v>18</v>
      </c>
      <c r="C20" s="45">
        <v>93.0</v>
      </c>
      <c r="D20" s="46">
        <f t="array" ref="D20">INDIRECT("ACIERTOS!T"&amp;ACIERTOS!$V$4)</f>
        <v>5</v>
      </c>
      <c r="E20" s="46">
        <f>ACIERTOS!T3</f>
        <v>1</v>
      </c>
      <c r="F20" s="45" t="s">
        <v>13</v>
      </c>
      <c r="G20" s="45">
        <v>55.0</v>
      </c>
      <c r="H20" s="45">
        <v>3.0</v>
      </c>
      <c r="I20" s="45">
        <v>-23.0</v>
      </c>
    </row>
    <row r="21">
      <c r="A21" s="49"/>
      <c r="B21" s="50"/>
      <c r="C21" s="51"/>
      <c r="D21" s="51"/>
      <c r="E21" s="51"/>
      <c r="F21" s="51"/>
      <c r="G21" s="51"/>
      <c r="H21" s="51"/>
      <c r="I21" s="51"/>
    </row>
    <row r="34" hidden="1">
      <c r="J34" s="20">
        <f>ACIERTOS!Y4</f>
        <v>3</v>
      </c>
    </row>
    <row r="35" hidden="1">
      <c r="J35" s="20">
        <f>ACIERTOS!Z4</f>
        <v>7</v>
      </c>
    </row>
  </sheetData>
  <conditionalFormatting sqref="H2:H20">
    <cfRule type="cellIs" dxfId="8" priority="1" operator="equal">
      <formula>$J$34</formula>
    </cfRule>
  </conditionalFormatting>
  <conditionalFormatting sqref="H2:H20">
    <cfRule type="cellIs" dxfId="4" priority="2" operator="equal">
      <formula>$J$35</formula>
    </cfRule>
  </conditionalFormatting>
  <drawing r:id="rId1"/>
</worksheet>
</file>